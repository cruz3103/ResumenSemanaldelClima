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indows\Desktop\uflo\ResumenSemanaldelClima\"/>
    </mc:Choice>
  </mc:AlternateContent>
  <xr:revisionPtr revIDLastSave="0" documentId="13_ncr:1_{171C2A96-3A74-4D48-A1CE-1D4667F0E4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semanal" sheetId="1" r:id="rId1"/>
    <sheet name="Descripción" sheetId="2" r:id="rId2"/>
    <sheet name="Gráficos" sheetId="3" state="hidden" r:id="rId3"/>
    <sheet name="Acumulados 60d" sheetId="4" state="hidden" r:id="rId4"/>
    <sheet name="Comparativa 60d" sheetId="7" r:id="rId5"/>
    <sheet name="calculo crecimiento pasto" sheetId="5" r:id="rId6"/>
    <sheet name="grafico agua . luz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 a="1"/>
  <c r="J2" i="5" s="1"/>
  <c r="K2" i="5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I2" i="5" a="1"/>
  <c r="I2" i="5" s="1"/>
  <c r="G3" i="5"/>
  <c r="G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<sst xmlns="http://schemas.openxmlformats.org/spreadsheetml/2006/main" count="62" uniqueCount="41">
  <si>
    <t>Semana</t>
  </si>
  <si>
    <t>Ciclo</t>
  </si>
  <si>
    <t>Temperatura media (°C)</t>
  </si>
  <si>
    <t>Temperatura mínima (°C)</t>
  </si>
  <si>
    <t>Temperatura máxima (°C)</t>
  </si>
  <si>
    <t>Humedad media (%)</t>
  </si>
  <si>
    <t>Viento promedio (km/h)</t>
  </si>
  <si>
    <t>Precipitación máx. diaria (mm)</t>
  </si>
  <si>
    <t>Radiación solar promedio (W/m²)</t>
  </si>
  <si>
    <t>Precipitación estimada (mm)</t>
  </si>
  <si>
    <t>Precipitación estimada acumulada últimos 60 días (mm)</t>
  </si>
  <si>
    <t>Radiación estimada (Wh/m²)</t>
  </si>
  <si>
    <t>Radiación estimada acumulada últimos 60 días (Wh/m²)</t>
  </si>
  <si>
    <t>Grados-día calefacción (HDD)</t>
  </si>
  <si>
    <t>HDD acumulado últimos 60 días</t>
  </si>
  <si>
    <t>Días con heladas (&lt; 4 °C)</t>
  </si>
  <si>
    <t>Días soleados (Solar &gt; 0 W/m²)</t>
  </si>
  <si>
    <t>Columna</t>
  </si>
  <si>
    <t>Descripción</t>
  </si>
  <si>
    <t>Inicio de la semana (lunes)</t>
  </si>
  <si>
    <t>Número de ciclo agrícola (inicia desde 1, luego 2, etc.)</t>
  </si>
  <si>
    <t>Promedio semanal de temperatura en grados Celsius</t>
  </si>
  <si>
    <t>Temperatura mínima semanal en °C</t>
  </si>
  <si>
    <t>Temperatura máxima semanal en °C</t>
  </si>
  <si>
    <t>Promedio semanal de humedad relativa en porcentaje</t>
  </si>
  <si>
    <t>Promedio semanal de velocidad del viento en km/h</t>
  </si>
  <si>
    <t>Total de precipitación semanal acumulada en mm</t>
  </si>
  <si>
    <t>Promedio semanal de radiación solar en W/m²</t>
  </si>
  <si>
    <t>Total semanal estimado de precipitación (mm), calculado como tasa × 0.25</t>
  </si>
  <si>
    <t>Acumulado de precipitación estimada en los 60 días anteriores</t>
  </si>
  <si>
    <t>Total semanal estimado de energía solar recibida en Wh/m²</t>
  </si>
  <si>
    <t>Acumulado de radiación estimada en los 60 días anteriores</t>
  </si>
  <si>
    <t>Total semanal de Heating Degree DaysGrados-día de calefacción: suma de (T_base - T) * 0.25 cada 15 minutos</t>
  </si>
  <si>
    <t>Acumulado de grados-día de calefacción en los 60 días anteriores</t>
  </si>
  <si>
    <t>Cantidad de días con heladas (temperatura menor a 4 °C)</t>
  </si>
  <si>
    <t>Cantidad de días con radiación solar registrada (mayor a 0 W/m²)</t>
  </si>
  <si>
    <t>fracc precipitacion</t>
  </si>
  <si>
    <t>fracc radiacion</t>
  </si>
  <si>
    <t>agua*luz</t>
  </si>
  <si>
    <t>max precipitacion</t>
  </si>
  <si>
    <t>max radiacion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</si>
</sst>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1" xfId="0" applyFill="1" applyBorder="1"/>
    <xf numFmtId="1" fontId="0" fillId="3" borderId="1" xfId="0" applyNumberFormat="1" applyFill="1" applyBorder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grafico</a:t>
            </a:r>
            <a:r>
              <a:rPr lang="es-CO" baseline="0"/>
              <a:t> agua * luz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'calculo crecimiento pasto'!$I$1</c:f>
              <c:strCache>
                <c:ptCount val="1"/>
                <c:pt idx="0">
                  <c:v>fracc precipitacion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accent1"/>
                </a:solidFill>
              </a:ln>
              <a:effectLst/>
            </c:spPr>
          </c:marker>
          <c:xVal>
            <c:numRef>
              <c:f>'calculo crecimiento pasto'!$A$2:$A$157</c:f>
              <c:numCache>
                <c:formatCode>yyyy\-mm\-dd\ hh:mm:ss</c:formatCode>
                <c:ptCount val="156"/>
                <c:pt idx="0">
                  <c:v>44760</c:v>
                </c:pt>
                <c:pt idx="1">
                  <c:v>44767</c:v>
                </c:pt>
                <c:pt idx="2">
                  <c:v>44774</c:v>
                </c:pt>
                <c:pt idx="3">
                  <c:v>44781</c:v>
                </c:pt>
                <c:pt idx="4">
                  <c:v>44788</c:v>
                </c:pt>
                <c:pt idx="5">
                  <c:v>44795</c:v>
                </c:pt>
                <c:pt idx="6">
                  <c:v>44802</c:v>
                </c:pt>
                <c:pt idx="7">
                  <c:v>44809</c:v>
                </c:pt>
                <c:pt idx="8">
                  <c:v>44816</c:v>
                </c:pt>
                <c:pt idx="9">
                  <c:v>44823</c:v>
                </c:pt>
                <c:pt idx="10">
                  <c:v>44830</c:v>
                </c:pt>
                <c:pt idx="11">
                  <c:v>44837</c:v>
                </c:pt>
                <c:pt idx="12">
                  <c:v>44844</c:v>
                </c:pt>
                <c:pt idx="13">
                  <c:v>44851</c:v>
                </c:pt>
                <c:pt idx="14">
                  <c:v>44858</c:v>
                </c:pt>
                <c:pt idx="15">
                  <c:v>44865</c:v>
                </c:pt>
                <c:pt idx="16">
                  <c:v>44872</c:v>
                </c:pt>
                <c:pt idx="17">
                  <c:v>44879</c:v>
                </c:pt>
                <c:pt idx="18">
                  <c:v>44886</c:v>
                </c:pt>
                <c:pt idx="19">
                  <c:v>44893</c:v>
                </c:pt>
                <c:pt idx="20">
                  <c:v>44900</c:v>
                </c:pt>
                <c:pt idx="21">
                  <c:v>44907</c:v>
                </c:pt>
                <c:pt idx="22">
                  <c:v>44914</c:v>
                </c:pt>
                <c:pt idx="23">
                  <c:v>44921</c:v>
                </c:pt>
                <c:pt idx="24">
                  <c:v>44928</c:v>
                </c:pt>
                <c:pt idx="25">
                  <c:v>44935</c:v>
                </c:pt>
                <c:pt idx="26">
                  <c:v>44942</c:v>
                </c:pt>
                <c:pt idx="27">
                  <c:v>44949</c:v>
                </c:pt>
                <c:pt idx="28">
                  <c:v>44956</c:v>
                </c:pt>
                <c:pt idx="29">
                  <c:v>44963</c:v>
                </c:pt>
                <c:pt idx="30">
                  <c:v>44970</c:v>
                </c:pt>
                <c:pt idx="31">
                  <c:v>44977</c:v>
                </c:pt>
                <c:pt idx="32">
                  <c:v>44984</c:v>
                </c:pt>
                <c:pt idx="33">
                  <c:v>44991</c:v>
                </c:pt>
                <c:pt idx="34">
                  <c:v>44998</c:v>
                </c:pt>
                <c:pt idx="35">
                  <c:v>45005</c:v>
                </c:pt>
                <c:pt idx="36">
                  <c:v>45012</c:v>
                </c:pt>
                <c:pt idx="37">
                  <c:v>45019</c:v>
                </c:pt>
                <c:pt idx="38">
                  <c:v>45026</c:v>
                </c:pt>
                <c:pt idx="39">
                  <c:v>45033</c:v>
                </c:pt>
                <c:pt idx="40">
                  <c:v>45040</c:v>
                </c:pt>
                <c:pt idx="41">
                  <c:v>45047</c:v>
                </c:pt>
                <c:pt idx="42">
                  <c:v>45054</c:v>
                </c:pt>
                <c:pt idx="43">
                  <c:v>45061</c:v>
                </c:pt>
                <c:pt idx="44">
                  <c:v>45068</c:v>
                </c:pt>
                <c:pt idx="45">
                  <c:v>45075</c:v>
                </c:pt>
                <c:pt idx="46">
                  <c:v>45082</c:v>
                </c:pt>
                <c:pt idx="47">
                  <c:v>45089</c:v>
                </c:pt>
                <c:pt idx="48">
                  <c:v>45096</c:v>
                </c:pt>
                <c:pt idx="49">
                  <c:v>45103</c:v>
                </c:pt>
                <c:pt idx="50">
                  <c:v>45110</c:v>
                </c:pt>
                <c:pt idx="51">
                  <c:v>45117</c:v>
                </c:pt>
                <c:pt idx="52">
                  <c:v>45124</c:v>
                </c:pt>
                <c:pt idx="53">
                  <c:v>45131</c:v>
                </c:pt>
                <c:pt idx="54">
                  <c:v>45138</c:v>
                </c:pt>
                <c:pt idx="55">
                  <c:v>45145</c:v>
                </c:pt>
                <c:pt idx="56">
                  <c:v>45152</c:v>
                </c:pt>
                <c:pt idx="57">
                  <c:v>45159</c:v>
                </c:pt>
                <c:pt idx="58">
                  <c:v>45166</c:v>
                </c:pt>
                <c:pt idx="59">
                  <c:v>45173</c:v>
                </c:pt>
                <c:pt idx="60">
                  <c:v>45180</c:v>
                </c:pt>
                <c:pt idx="61">
                  <c:v>45187</c:v>
                </c:pt>
                <c:pt idx="62">
                  <c:v>45194</c:v>
                </c:pt>
                <c:pt idx="63">
                  <c:v>45201</c:v>
                </c:pt>
                <c:pt idx="64">
                  <c:v>45208</c:v>
                </c:pt>
                <c:pt idx="65">
                  <c:v>45215</c:v>
                </c:pt>
                <c:pt idx="66">
                  <c:v>45222</c:v>
                </c:pt>
                <c:pt idx="67">
                  <c:v>45229</c:v>
                </c:pt>
                <c:pt idx="68">
                  <c:v>45236</c:v>
                </c:pt>
                <c:pt idx="69">
                  <c:v>45243</c:v>
                </c:pt>
                <c:pt idx="70">
                  <c:v>45250</c:v>
                </c:pt>
                <c:pt idx="71">
                  <c:v>45257</c:v>
                </c:pt>
                <c:pt idx="72">
                  <c:v>45264</c:v>
                </c:pt>
                <c:pt idx="73">
                  <c:v>45271</c:v>
                </c:pt>
                <c:pt idx="74">
                  <c:v>45278</c:v>
                </c:pt>
                <c:pt idx="75">
                  <c:v>45285</c:v>
                </c:pt>
                <c:pt idx="76">
                  <c:v>45292</c:v>
                </c:pt>
                <c:pt idx="77">
                  <c:v>45299</c:v>
                </c:pt>
                <c:pt idx="78">
                  <c:v>45306</c:v>
                </c:pt>
                <c:pt idx="79">
                  <c:v>45313</c:v>
                </c:pt>
                <c:pt idx="80">
                  <c:v>45320</c:v>
                </c:pt>
                <c:pt idx="81">
                  <c:v>45327</c:v>
                </c:pt>
                <c:pt idx="82">
                  <c:v>45334</c:v>
                </c:pt>
                <c:pt idx="83">
                  <c:v>45341</c:v>
                </c:pt>
                <c:pt idx="84">
                  <c:v>45348</c:v>
                </c:pt>
                <c:pt idx="85">
                  <c:v>45355</c:v>
                </c:pt>
                <c:pt idx="86">
                  <c:v>45362</c:v>
                </c:pt>
                <c:pt idx="87">
                  <c:v>45369</c:v>
                </c:pt>
                <c:pt idx="88">
                  <c:v>45376</c:v>
                </c:pt>
                <c:pt idx="89">
                  <c:v>45383</c:v>
                </c:pt>
                <c:pt idx="90">
                  <c:v>45390</c:v>
                </c:pt>
                <c:pt idx="91">
                  <c:v>45397</c:v>
                </c:pt>
                <c:pt idx="92">
                  <c:v>45404</c:v>
                </c:pt>
                <c:pt idx="93">
                  <c:v>45411</c:v>
                </c:pt>
                <c:pt idx="94">
                  <c:v>45418</c:v>
                </c:pt>
                <c:pt idx="95">
                  <c:v>45425</c:v>
                </c:pt>
                <c:pt idx="96">
                  <c:v>45432</c:v>
                </c:pt>
                <c:pt idx="97">
                  <c:v>45439</c:v>
                </c:pt>
                <c:pt idx="98">
                  <c:v>45446</c:v>
                </c:pt>
                <c:pt idx="99">
                  <c:v>45453</c:v>
                </c:pt>
                <c:pt idx="100">
                  <c:v>45460</c:v>
                </c:pt>
                <c:pt idx="101">
                  <c:v>45467</c:v>
                </c:pt>
                <c:pt idx="102">
                  <c:v>45474</c:v>
                </c:pt>
                <c:pt idx="103">
                  <c:v>45509</c:v>
                </c:pt>
                <c:pt idx="104">
                  <c:v>45516</c:v>
                </c:pt>
                <c:pt idx="105">
                  <c:v>45523</c:v>
                </c:pt>
                <c:pt idx="106">
                  <c:v>45530</c:v>
                </c:pt>
                <c:pt idx="107">
                  <c:v>45537</c:v>
                </c:pt>
                <c:pt idx="108">
                  <c:v>45544</c:v>
                </c:pt>
                <c:pt idx="109">
                  <c:v>45551</c:v>
                </c:pt>
                <c:pt idx="110">
                  <c:v>45558</c:v>
                </c:pt>
                <c:pt idx="111">
                  <c:v>45565</c:v>
                </c:pt>
                <c:pt idx="112">
                  <c:v>45572</c:v>
                </c:pt>
                <c:pt idx="113">
                  <c:v>45579</c:v>
                </c:pt>
                <c:pt idx="114">
                  <c:v>45586</c:v>
                </c:pt>
                <c:pt idx="115">
                  <c:v>45593</c:v>
                </c:pt>
                <c:pt idx="116">
                  <c:v>45600</c:v>
                </c:pt>
                <c:pt idx="117">
                  <c:v>45607</c:v>
                </c:pt>
                <c:pt idx="118">
                  <c:v>45614</c:v>
                </c:pt>
                <c:pt idx="119">
                  <c:v>45621</c:v>
                </c:pt>
                <c:pt idx="120">
                  <c:v>45628</c:v>
                </c:pt>
                <c:pt idx="121">
                  <c:v>45635</c:v>
                </c:pt>
                <c:pt idx="122">
                  <c:v>45642</c:v>
                </c:pt>
                <c:pt idx="123">
                  <c:v>45649</c:v>
                </c:pt>
                <c:pt idx="124">
                  <c:v>45656</c:v>
                </c:pt>
                <c:pt idx="125">
                  <c:v>45663</c:v>
                </c:pt>
                <c:pt idx="126">
                  <c:v>45670</c:v>
                </c:pt>
                <c:pt idx="127">
                  <c:v>45677</c:v>
                </c:pt>
                <c:pt idx="128">
                  <c:v>45684</c:v>
                </c:pt>
                <c:pt idx="129">
                  <c:v>45691</c:v>
                </c:pt>
                <c:pt idx="130">
                  <c:v>45698</c:v>
                </c:pt>
                <c:pt idx="131">
                  <c:v>45705</c:v>
                </c:pt>
                <c:pt idx="132">
                  <c:v>45712</c:v>
                </c:pt>
                <c:pt idx="133">
                  <c:v>45719</c:v>
                </c:pt>
                <c:pt idx="134">
                  <c:v>45726</c:v>
                </c:pt>
                <c:pt idx="135">
                  <c:v>45733</c:v>
                </c:pt>
                <c:pt idx="136">
                  <c:v>45740</c:v>
                </c:pt>
                <c:pt idx="137">
                  <c:v>45747</c:v>
                </c:pt>
                <c:pt idx="138">
                  <c:v>45754</c:v>
                </c:pt>
                <c:pt idx="139">
                  <c:v>45761</c:v>
                </c:pt>
                <c:pt idx="140">
                  <c:v>45768</c:v>
                </c:pt>
                <c:pt idx="141">
                  <c:v>45775</c:v>
                </c:pt>
                <c:pt idx="142">
                  <c:v>45782</c:v>
                </c:pt>
                <c:pt idx="143">
                  <c:v>45789</c:v>
                </c:pt>
                <c:pt idx="144">
                  <c:v>45796</c:v>
                </c:pt>
                <c:pt idx="145">
                  <c:v>45803</c:v>
                </c:pt>
                <c:pt idx="146">
                  <c:v>45810</c:v>
                </c:pt>
                <c:pt idx="147">
                  <c:v>45817</c:v>
                </c:pt>
                <c:pt idx="148">
                  <c:v>45824</c:v>
                </c:pt>
                <c:pt idx="149">
                  <c:v>45831</c:v>
                </c:pt>
                <c:pt idx="150">
                  <c:v>45838</c:v>
                </c:pt>
                <c:pt idx="151">
                  <c:v>45845</c:v>
                </c:pt>
                <c:pt idx="152">
                  <c:v>45852</c:v>
                </c:pt>
                <c:pt idx="153">
                  <c:v>45859</c:v>
                </c:pt>
                <c:pt idx="154">
                  <c:v>45866</c:v>
                </c:pt>
                <c:pt idx="155">
                  <c:v>45873</c:v>
                </c:pt>
              </c:numCache>
            </c:numRef>
          </c:xVal>
          <c:yVal>
            <c:numRef>
              <c:f>'calculo crecimiento pasto'!$I$2:$I$157</c:f>
              <c:numCache>
                <c:formatCode>General</c:formatCode>
                <c:ptCount val="156"/>
                <c:pt idx="0">
                  <c:v>6.1429415239220318E-2</c:v>
                </c:pt>
                <c:pt idx="1">
                  <c:v>0.16639945996118471</c:v>
                </c:pt>
                <c:pt idx="2">
                  <c:v>0.2617500632857987</c:v>
                </c:pt>
                <c:pt idx="3">
                  <c:v>0.38342755885579277</c:v>
                </c:pt>
                <c:pt idx="4">
                  <c:v>0.42865580963631766</c:v>
                </c:pt>
                <c:pt idx="5">
                  <c:v>0.47211205805417267</c:v>
                </c:pt>
                <c:pt idx="6">
                  <c:v>0.53624166736984225</c:v>
                </c:pt>
                <c:pt idx="7">
                  <c:v>0.53624166736984225</c:v>
                </c:pt>
                <c:pt idx="8">
                  <c:v>0.58982364357438199</c:v>
                </c:pt>
                <c:pt idx="9">
                  <c:v>0.66391021854695809</c:v>
                </c:pt>
                <c:pt idx="10">
                  <c:v>0.63834275588557932</c:v>
                </c:pt>
                <c:pt idx="11">
                  <c:v>0.68095519365454393</c:v>
                </c:pt>
                <c:pt idx="12">
                  <c:v>0.68095519365454393</c:v>
                </c:pt>
                <c:pt idx="13">
                  <c:v>0.61547548730064972</c:v>
                </c:pt>
                <c:pt idx="14">
                  <c:v>0.65699097122605699</c:v>
                </c:pt>
                <c:pt idx="15">
                  <c:v>0.65505020673360903</c:v>
                </c:pt>
                <c:pt idx="16">
                  <c:v>0.67884566703231797</c:v>
                </c:pt>
                <c:pt idx="17">
                  <c:v>0.77301493544848543</c:v>
                </c:pt>
                <c:pt idx="18">
                  <c:v>0.68508986583410691</c:v>
                </c:pt>
                <c:pt idx="19">
                  <c:v>0.61986330267487988</c:v>
                </c:pt>
                <c:pt idx="20">
                  <c:v>0.5567462661378787</c:v>
                </c:pt>
                <c:pt idx="21">
                  <c:v>0.51430259049869209</c:v>
                </c:pt>
                <c:pt idx="22">
                  <c:v>0.43464686524343943</c:v>
                </c:pt>
                <c:pt idx="23">
                  <c:v>0.36731077546198637</c:v>
                </c:pt>
                <c:pt idx="24">
                  <c:v>0.32166061935701629</c:v>
                </c:pt>
                <c:pt idx="25">
                  <c:v>0.46038309003459627</c:v>
                </c:pt>
                <c:pt idx="26">
                  <c:v>0.49751075858577343</c:v>
                </c:pt>
                <c:pt idx="27">
                  <c:v>0.43084971732343269</c:v>
                </c:pt>
                <c:pt idx="28">
                  <c:v>0.39178128427980763</c:v>
                </c:pt>
                <c:pt idx="29">
                  <c:v>0.40688549489494558</c:v>
                </c:pt>
                <c:pt idx="30">
                  <c:v>0.45405451016791837</c:v>
                </c:pt>
                <c:pt idx="31">
                  <c:v>0.51565268753691673</c:v>
                </c:pt>
                <c:pt idx="32">
                  <c:v>0.50864905915112646</c:v>
                </c:pt>
                <c:pt idx="33">
                  <c:v>0.51210868281157707</c:v>
                </c:pt>
                <c:pt idx="34">
                  <c:v>0.35684752341574549</c:v>
                </c:pt>
                <c:pt idx="35">
                  <c:v>0.23846088937642396</c:v>
                </c:pt>
                <c:pt idx="36">
                  <c:v>0.22681630242173659</c:v>
                </c:pt>
                <c:pt idx="37">
                  <c:v>0.27828875200405034</c:v>
                </c:pt>
                <c:pt idx="38">
                  <c:v>0.28107332714538857</c:v>
                </c:pt>
                <c:pt idx="39">
                  <c:v>0.40469158720783061</c:v>
                </c:pt>
                <c:pt idx="40">
                  <c:v>0.37768964644333819</c:v>
                </c:pt>
                <c:pt idx="41">
                  <c:v>0.31676651759345203</c:v>
                </c:pt>
                <c:pt idx="42">
                  <c:v>0.31128174837566452</c:v>
                </c:pt>
                <c:pt idx="43">
                  <c:v>0.2734790313053751</c:v>
                </c:pt>
                <c:pt idx="44">
                  <c:v>0.3919500464095857</c:v>
                </c:pt>
                <c:pt idx="45">
                  <c:v>0.41262340730740027</c:v>
                </c:pt>
                <c:pt idx="46">
                  <c:v>0.43405619778921611</c:v>
                </c:pt>
                <c:pt idx="47">
                  <c:v>0.41802379546029872</c:v>
                </c:pt>
                <c:pt idx="48">
                  <c:v>0.34435912581216782</c:v>
                </c:pt>
                <c:pt idx="49">
                  <c:v>0.34106826428149523</c:v>
                </c:pt>
                <c:pt idx="50">
                  <c:v>0.44553202261412544</c:v>
                </c:pt>
                <c:pt idx="51">
                  <c:v>0.47835625685596156</c:v>
                </c:pt>
                <c:pt idx="52">
                  <c:v>0.45143869715635815</c:v>
                </c:pt>
                <c:pt idx="53">
                  <c:v>0.4363344865412202</c:v>
                </c:pt>
                <c:pt idx="54">
                  <c:v>0.39853176947093077</c:v>
                </c:pt>
                <c:pt idx="55">
                  <c:v>0.40486034933760867</c:v>
                </c:pt>
                <c:pt idx="56">
                  <c:v>0.50890220234579364</c:v>
                </c:pt>
                <c:pt idx="57">
                  <c:v>0.51193992068179905</c:v>
                </c:pt>
                <c:pt idx="58">
                  <c:v>0.45413889123280743</c:v>
                </c:pt>
                <c:pt idx="59">
                  <c:v>0.39912243692515403</c:v>
                </c:pt>
                <c:pt idx="60">
                  <c:v>0.36747953759176444</c:v>
                </c:pt>
                <c:pt idx="61">
                  <c:v>0.35802885832419207</c:v>
                </c:pt>
                <c:pt idx="62">
                  <c:v>0.34866256012150876</c:v>
                </c:pt>
                <c:pt idx="63">
                  <c:v>0.4280651421820944</c:v>
                </c:pt>
                <c:pt idx="64">
                  <c:v>0.44823221669057473</c:v>
                </c:pt>
                <c:pt idx="65">
                  <c:v>0.338368070205046</c:v>
                </c:pt>
                <c:pt idx="66">
                  <c:v>0.53008184963294247</c:v>
                </c:pt>
                <c:pt idx="67">
                  <c:v>0.63538941861446296</c:v>
                </c:pt>
                <c:pt idx="68">
                  <c:v>0.64289933338958738</c:v>
                </c:pt>
                <c:pt idx="69">
                  <c:v>0.67968947768120835</c:v>
                </c:pt>
                <c:pt idx="70">
                  <c:v>0.59935870390684332</c:v>
                </c:pt>
                <c:pt idx="71">
                  <c:v>0.56434056197789217</c:v>
                </c:pt>
                <c:pt idx="72">
                  <c:v>0.44207239895367478</c:v>
                </c:pt>
                <c:pt idx="73">
                  <c:v>0.43768458357944484</c:v>
                </c:pt>
                <c:pt idx="74">
                  <c:v>0.39768795882204039</c:v>
                </c:pt>
                <c:pt idx="75">
                  <c:v>0.31820099569656568</c:v>
                </c:pt>
                <c:pt idx="76">
                  <c:v>0.19939245633279895</c:v>
                </c:pt>
                <c:pt idx="77">
                  <c:v>0.21871572019238883</c:v>
                </c:pt>
                <c:pt idx="78">
                  <c:v>0.18226310016032404</c:v>
                </c:pt>
                <c:pt idx="79">
                  <c:v>0.18226310016032404</c:v>
                </c:pt>
                <c:pt idx="80">
                  <c:v>0.21424352375326974</c:v>
                </c:pt>
                <c:pt idx="81">
                  <c:v>0.27879503839338454</c:v>
                </c:pt>
                <c:pt idx="82">
                  <c:v>0.18808539363766769</c:v>
                </c:pt>
                <c:pt idx="83">
                  <c:v>0.14640114758248252</c:v>
                </c:pt>
                <c:pt idx="84">
                  <c:v>0.15146401147582483</c:v>
                </c:pt>
                <c:pt idx="85">
                  <c:v>0.12910302928022951</c:v>
                </c:pt>
                <c:pt idx="86">
                  <c:v>0.12539026242511181</c:v>
                </c:pt>
                <c:pt idx="87">
                  <c:v>0.13095941270778838</c:v>
                </c:pt>
                <c:pt idx="88">
                  <c:v>0.13534722808201841</c:v>
                </c:pt>
                <c:pt idx="89">
                  <c:v>6.3623322926335338E-2</c:v>
                </c:pt>
                <c:pt idx="90">
                  <c:v>6.3623322926335338E-2</c:v>
                </c:pt>
                <c:pt idx="91">
                  <c:v>0.1440384777655894</c:v>
                </c:pt>
                <c:pt idx="92">
                  <c:v>0.20167074508480298</c:v>
                </c:pt>
                <c:pt idx="93">
                  <c:v>0.29820268331786348</c:v>
                </c:pt>
                <c:pt idx="94">
                  <c:v>0.44030039659100495</c:v>
                </c:pt>
                <c:pt idx="95">
                  <c:v>0.4675554805501646</c:v>
                </c:pt>
                <c:pt idx="96">
                  <c:v>0.47801873259640543</c:v>
                </c:pt>
                <c:pt idx="97">
                  <c:v>0.54636739515652688</c:v>
                </c:pt>
                <c:pt idx="98">
                  <c:v>0.60222766011307072</c:v>
                </c:pt>
                <c:pt idx="99">
                  <c:v>0.681208336849211</c:v>
                </c:pt>
                <c:pt idx="100">
                  <c:v>0.66905746350518946</c:v>
                </c:pt>
                <c:pt idx="101">
                  <c:v>0.60315585182685005</c:v>
                </c:pt>
                <c:pt idx="102">
                  <c:v>0.58830478440637934</c:v>
                </c:pt>
                <c:pt idx="103">
                  <c:v>0.52274069698759607</c:v>
                </c:pt>
                <c:pt idx="104">
                  <c:v>0.44671335752257196</c:v>
                </c:pt>
                <c:pt idx="105">
                  <c:v>0.43354991139988186</c:v>
                </c:pt>
                <c:pt idx="106">
                  <c:v>0.3203105223187917</c:v>
                </c:pt>
                <c:pt idx="107">
                  <c:v>0.28056704075605438</c:v>
                </c:pt>
                <c:pt idx="108">
                  <c:v>0.22462239473462151</c:v>
                </c:pt>
                <c:pt idx="109">
                  <c:v>0.10598261750063286</c:v>
                </c:pt>
                <c:pt idx="110">
                  <c:v>0.15517677833094257</c:v>
                </c:pt>
                <c:pt idx="111">
                  <c:v>0.16597755463673952</c:v>
                </c:pt>
                <c:pt idx="112">
                  <c:v>0.25829043962534809</c:v>
                </c:pt>
                <c:pt idx="113">
                  <c:v>0.28394228335161592</c:v>
                </c:pt>
                <c:pt idx="114">
                  <c:v>0.41785503333052065</c:v>
                </c:pt>
                <c:pt idx="115">
                  <c:v>0.47784997046662731</c:v>
                </c:pt>
                <c:pt idx="116">
                  <c:v>0.57927601046325206</c:v>
                </c:pt>
                <c:pt idx="117">
                  <c:v>0.65336258543582826</c:v>
                </c:pt>
                <c:pt idx="118">
                  <c:v>0.88962956712513719</c:v>
                </c:pt>
                <c:pt idx="119">
                  <c:v>0.79562906083874785</c:v>
                </c:pt>
                <c:pt idx="120">
                  <c:v>0.68103957471943299</c:v>
                </c:pt>
                <c:pt idx="121">
                  <c:v>0.65994430849717334</c:v>
                </c:pt>
                <c:pt idx="122">
                  <c:v>0.61260653109442242</c:v>
                </c:pt>
                <c:pt idx="123">
                  <c:v>0.57860096194413979</c:v>
                </c:pt>
                <c:pt idx="124">
                  <c:v>0.51607459286136192</c:v>
                </c:pt>
                <c:pt idx="125">
                  <c:v>0.45126993502658003</c:v>
                </c:pt>
                <c:pt idx="126">
                  <c:v>0.25575900767867693</c:v>
                </c:pt>
                <c:pt idx="127">
                  <c:v>0.11264872162686694</c:v>
                </c:pt>
                <c:pt idx="128">
                  <c:v>0.10893595477174922</c:v>
                </c:pt>
                <c:pt idx="129">
                  <c:v>0.20116445869546876</c:v>
                </c:pt>
                <c:pt idx="130">
                  <c:v>0.35499113998818665</c:v>
                </c:pt>
                <c:pt idx="131">
                  <c:v>0.38469327482912835</c:v>
                </c:pt>
                <c:pt idx="132">
                  <c:v>0.33651168677748716</c:v>
                </c:pt>
                <c:pt idx="133">
                  <c:v>0.42038646527719181</c:v>
                </c:pt>
                <c:pt idx="134">
                  <c:v>0.51421820943380303</c:v>
                </c:pt>
                <c:pt idx="135">
                  <c:v>0.58315753944814785</c:v>
                </c:pt>
                <c:pt idx="136">
                  <c:v>0.64880600793182008</c:v>
                </c:pt>
                <c:pt idx="137">
                  <c:v>0.676736140410092</c:v>
                </c:pt>
                <c:pt idx="138">
                  <c:v>0.65133743987849124</c:v>
                </c:pt>
                <c:pt idx="139">
                  <c:v>0.58627963884904233</c:v>
                </c:pt>
                <c:pt idx="140">
                  <c:v>0.91443760020251463</c:v>
                </c:pt>
                <c:pt idx="141">
                  <c:v>1</c:v>
                </c:pt>
                <c:pt idx="142">
                  <c:v>0.88498860855624006</c:v>
                </c:pt>
                <c:pt idx="143">
                  <c:v>0.84313560037127677</c:v>
                </c:pt>
                <c:pt idx="144">
                  <c:v>0.89874272213315332</c:v>
                </c:pt>
                <c:pt idx="145">
                  <c:v>0.85072989621129025</c:v>
                </c:pt>
                <c:pt idx="146">
                  <c:v>0.7234832503586196</c:v>
                </c:pt>
                <c:pt idx="147">
                  <c:v>0.80465783478187503</c:v>
                </c:pt>
                <c:pt idx="148">
                  <c:v>0.73630917222175352</c:v>
                </c:pt>
                <c:pt idx="149">
                  <c:v>0.53109442241161087</c:v>
                </c:pt>
                <c:pt idx="150">
                  <c:v>0.47439034680617675</c:v>
                </c:pt>
                <c:pt idx="151">
                  <c:v>0.47928444856974101</c:v>
                </c:pt>
                <c:pt idx="152">
                  <c:v>0.39009366298202686</c:v>
                </c:pt>
                <c:pt idx="153">
                  <c:v>0.39397519196692266</c:v>
                </c:pt>
                <c:pt idx="154">
                  <c:v>0.43253733862121346</c:v>
                </c:pt>
                <c:pt idx="155">
                  <c:v>0.51928107332714546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8-4947-B79A-904317637AD2}"/>
            </c:ext>
          </c:extLst>
        </c:ser>
        <c:ser>
          <c:idx val="1"/>
          <c:order val="1"/>
          <c:tx>
            <c:strRef>
              <c:f>'calculo crecimiento pasto'!$J$1</c:f>
              <c:strCache>
                <c:ptCount val="1"/>
                <c:pt idx="0">
                  <c:v>fracc radiacion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accent2"/>
                </a:solidFill>
              </a:ln>
              <a:effectLst/>
            </c:spPr>
          </c:marker>
          <c:xVal>
            <c:numRef>
              <c:f>'calculo crecimiento pasto'!$A$2:$A$157</c:f>
              <c:numCache>
                <c:formatCode>yyyy\-mm\-dd\ hh:mm:ss</c:formatCode>
                <c:ptCount val="156"/>
                <c:pt idx="0">
                  <c:v>44760</c:v>
                </c:pt>
                <c:pt idx="1">
                  <c:v>44767</c:v>
                </c:pt>
                <c:pt idx="2">
                  <c:v>44774</c:v>
                </c:pt>
                <c:pt idx="3">
                  <c:v>44781</c:v>
                </c:pt>
                <c:pt idx="4">
                  <c:v>44788</c:v>
                </c:pt>
                <c:pt idx="5">
                  <c:v>44795</c:v>
                </c:pt>
                <c:pt idx="6">
                  <c:v>44802</c:v>
                </c:pt>
                <c:pt idx="7">
                  <c:v>44809</c:v>
                </c:pt>
                <c:pt idx="8">
                  <c:v>44816</c:v>
                </c:pt>
                <c:pt idx="9">
                  <c:v>44823</c:v>
                </c:pt>
                <c:pt idx="10">
                  <c:v>44830</c:v>
                </c:pt>
                <c:pt idx="11">
                  <c:v>44837</c:v>
                </c:pt>
                <c:pt idx="12">
                  <c:v>44844</c:v>
                </c:pt>
                <c:pt idx="13">
                  <c:v>44851</c:v>
                </c:pt>
                <c:pt idx="14">
                  <c:v>44858</c:v>
                </c:pt>
                <c:pt idx="15">
                  <c:v>44865</c:v>
                </c:pt>
                <c:pt idx="16">
                  <c:v>44872</c:v>
                </c:pt>
                <c:pt idx="17">
                  <c:v>44879</c:v>
                </c:pt>
                <c:pt idx="18">
                  <c:v>44886</c:v>
                </c:pt>
                <c:pt idx="19">
                  <c:v>44893</c:v>
                </c:pt>
                <c:pt idx="20">
                  <c:v>44900</c:v>
                </c:pt>
                <c:pt idx="21">
                  <c:v>44907</c:v>
                </c:pt>
                <c:pt idx="22">
                  <c:v>44914</c:v>
                </c:pt>
                <c:pt idx="23">
                  <c:v>44921</c:v>
                </c:pt>
                <c:pt idx="24">
                  <c:v>44928</c:v>
                </c:pt>
                <c:pt idx="25">
                  <c:v>44935</c:v>
                </c:pt>
                <c:pt idx="26">
                  <c:v>44942</c:v>
                </c:pt>
                <c:pt idx="27">
                  <c:v>44949</c:v>
                </c:pt>
                <c:pt idx="28">
                  <c:v>44956</c:v>
                </c:pt>
                <c:pt idx="29">
                  <c:v>44963</c:v>
                </c:pt>
                <c:pt idx="30">
                  <c:v>44970</c:v>
                </c:pt>
                <c:pt idx="31">
                  <c:v>44977</c:v>
                </c:pt>
                <c:pt idx="32">
                  <c:v>44984</c:v>
                </c:pt>
                <c:pt idx="33">
                  <c:v>44991</c:v>
                </c:pt>
                <c:pt idx="34">
                  <c:v>44998</c:v>
                </c:pt>
                <c:pt idx="35">
                  <c:v>45005</c:v>
                </c:pt>
                <c:pt idx="36">
                  <c:v>45012</c:v>
                </c:pt>
                <c:pt idx="37">
                  <c:v>45019</c:v>
                </c:pt>
                <c:pt idx="38">
                  <c:v>45026</c:v>
                </c:pt>
                <c:pt idx="39">
                  <c:v>45033</c:v>
                </c:pt>
                <c:pt idx="40">
                  <c:v>45040</c:v>
                </c:pt>
                <c:pt idx="41">
                  <c:v>45047</c:v>
                </c:pt>
                <c:pt idx="42">
                  <c:v>45054</c:v>
                </c:pt>
                <c:pt idx="43">
                  <c:v>45061</c:v>
                </c:pt>
                <c:pt idx="44">
                  <c:v>45068</c:v>
                </c:pt>
                <c:pt idx="45">
                  <c:v>45075</c:v>
                </c:pt>
                <c:pt idx="46">
                  <c:v>45082</c:v>
                </c:pt>
                <c:pt idx="47">
                  <c:v>45089</c:v>
                </c:pt>
                <c:pt idx="48">
                  <c:v>45096</c:v>
                </c:pt>
                <c:pt idx="49">
                  <c:v>45103</c:v>
                </c:pt>
                <c:pt idx="50">
                  <c:v>45110</c:v>
                </c:pt>
                <c:pt idx="51">
                  <c:v>45117</c:v>
                </c:pt>
                <c:pt idx="52">
                  <c:v>45124</c:v>
                </c:pt>
                <c:pt idx="53">
                  <c:v>45131</c:v>
                </c:pt>
                <c:pt idx="54">
                  <c:v>45138</c:v>
                </c:pt>
                <c:pt idx="55">
                  <c:v>45145</c:v>
                </c:pt>
                <c:pt idx="56">
                  <c:v>45152</c:v>
                </c:pt>
                <c:pt idx="57">
                  <c:v>45159</c:v>
                </c:pt>
                <c:pt idx="58">
                  <c:v>45166</c:v>
                </c:pt>
                <c:pt idx="59">
                  <c:v>45173</c:v>
                </c:pt>
                <c:pt idx="60">
                  <c:v>45180</c:v>
                </c:pt>
                <c:pt idx="61">
                  <c:v>45187</c:v>
                </c:pt>
                <c:pt idx="62">
                  <c:v>45194</c:v>
                </c:pt>
                <c:pt idx="63">
                  <c:v>45201</c:v>
                </c:pt>
                <c:pt idx="64">
                  <c:v>45208</c:v>
                </c:pt>
                <c:pt idx="65">
                  <c:v>45215</c:v>
                </c:pt>
                <c:pt idx="66">
                  <c:v>45222</c:v>
                </c:pt>
                <c:pt idx="67">
                  <c:v>45229</c:v>
                </c:pt>
                <c:pt idx="68">
                  <c:v>45236</c:v>
                </c:pt>
                <c:pt idx="69">
                  <c:v>45243</c:v>
                </c:pt>
                <c:pt idx="70">
                  <c:v>45250</c:v>
                </c:pt>
                <c:pt idx="71">
                  <c:v>45257</c:v>
                </c:pt>
                <c:pt idx="72">
                  <c:v>45264</c:v>
                </c:pt>
                <c:pt idx="73">
                  <c:v>45271</c:v>
                </c:pt>
                <c:pt idx="74">
                  <c:v>45278</c:v>
                </c:pt>
                <c:pt idx="75">
                  <c:v>45285</c:v>
                </c:pt>
                <c:pt idx="76">
                  <c:v>45292</c:v>
                </c:pt>
                <c:pt idx="77">
                  <c:v>45299</c:v>
                </c:pt>
                <c:pt idx="78">
                  <c:v>45306</c:v>
                </c:pt>
                <c:pt idx="79">
                  <c:v>45313</c:v>
                </c:pt>
                <c:pt idx="80">
                  <c:v>45320</c:v>
                </c:pt>
                <c:pt idx="81">
                  <c:v>45327</c:v>
                </c:pt>
                <c:pt idx="82">
                  <c:v>45334</c:v>
                </c:pt>
                <c:pt idx="83">
                  <c:v>45341</c:v>
                </c:pt>
                <c:pt idx="84">
                  <c:v>45348</c:v>
                </c:pt>
                <c:pt idx="85">
                  <c:v>45355</c:v>
                </c:pt>
                <c:pt idx="86">
                  <c:v>45362</c:v>
                </c:pt>
                <c:pt idx="87">
                  <c:v>45369</c:v>
                </c:pt>
                <c:pt idx="88">
                  <c:v>45376</c:v>
                </c:pt>
                <c:pt idx="89">
                  <c:v>45383</c:v>
                </c:pt>
                <c:pt idx="90">
                  <c:v>45390</c:v>
                </c:pt>
                <c:pt idx="91">
                  <c:v>45397</c:v>
                </c:pt>
                <c:pt idx="92">
                  <c:v>45404</c:v>
                </c:pt>
                <c:pt idx="93">
                  <c:v>45411</c:v>
                </c:pt>
                <c:pt idx="94">
                  <c:v>45418</c:v>
                </c:pt>
                <c:pt idx="95">
                  <c:v>45425</c:v>
                </c:pt>
                <c:pt idx="96">
                  <c:v>45432</c:v>
                </c:pt>
                <c:pt idx="97">
                  <c:v>45439</c:v>
                </c:pt>
                <c:pt idx="98">
                  <c:v>45446</c:v>
                </c:pt>
                <c:pt idx="99">
                  <c:v>45453</c:v>
                </c:pt>
                <c:pt idx="100">
                  <c:v>45460</c:v>
                </c:pt>
                <c:pt idx="101">
                  <c:v>45467</c:v>
                </c:pt>
                <c:pt idx="102">
                  <c:v>45474</c:v>
                </c:pt>
                <c:pt idx="103">
                  <c:v>45509</c:v>
                </c:pt>
                <c:pt idx="104">
                  <c:v>45516</c:v>
                </c:pt>
                <c:pt idx="105">
                  <c:v>45523</c:v>
                </c:pt>
                <c:pt idx="106">
                  <c:v>45530</c:v>
                </c:pt>
                <c:pt idx="107">
                  <c:v>45537</c:v>
                </c:pt>
                <c:pt idx="108">
                  <c:v>45544</c:v>
                </c:pt>
                <c:pt idx="109">
                  <c:v>45551</c:v>
                </c:pt>
                <c:pt idx="110">
                  <c:v>45558</c:v>
                </c:pt>
                <c:pt idx="111">
                  <c:v>45565</c:v>
                </c:pt>
                <c:pt idx="112">
                  <c:v>45572</c:v>
                </c:pt>
                <c:pt idx="113">
                  <c:v>45579</c:v>
                </c:pt>
                <c:pt idx="114">
                  <c:v>45586</c:v>
                </c:pt>
                <c:pt idx="115">
                  <c:v>45593</c:v>
                </c:pt>
                <c:pt idx="116">
                  <c:v>45600</c:v>
                </c:pt>
                <c:pt idx="117">
                  <c:v>45607</c:v>
                </c:pt>
                <c:pt idx="118">
                  <c:v>45614</c:v>
                </c:pt>
                <c:pt idx="119">
                  <c:v>45621</c:v>
                </c:pt>
                <c:pt idx="120">
                  <c:v>45628</c:v>
                </c:pt>
                <c:pt idx="121">
                  <c:v>45635</c:v>
                </c:pt>
                <c:pt idx="122">
                  <c:v>45642</c:v>
                </c:pt>
                <c:pt idx="123">
                  <c:v>45649</c:v>
                </c:pt>
                <c:pt idx="124">
                  <c:v>45656</c:v>
                </c:pt>
                <c:pt idx="125">
                  <c:v>45663</c:v>
                </c:pt>
                <c:pt idx="126">
                  <c:v>45670</c:v>
                </c:pt>
                <c:pt idx="127">
                  <c:v>45677</c:v>
                </c:pt>
                <c:pt idx="128">
                  <c:v>45684</c:v>
                </c:pt>
                <c:pt idx="129">
                  <c:v>45691</c:v>
                </c:pt>
                <c:pt idx="130">
                  <c:v>45698</c:v>
                </c:pt>
                <c:pt idx="131">
                  <c:v>45705</c:v>
                </c:pt>
                <c:pt idx="132">
                  <c:v>45712</c:v>
                </c:pt>
                <c:pt idx="133">
                  <c:v>45719</c:v>
                </c:pt>
                <c:pt idx="134">
                  <c:v>45726</c:v>
                </c:pt>
                <c:pt idx="135">
                  <c:v>45733</c:v>
                </c:pt>
                <c:pt idx="136">
                  <c:v>45740</c:v>
                </c:pt>
                <c:pt idx="137">
                  <c:v>45747</c:v>
                </c:pt>
                <c:pt idx="138">
                  <c:v>45754</c:v>
                </c:pt>
                <c:pt idx="139">
                  <c:v>45761</c:v>
                </c:pt>
                <c:pt idx="140">
                  <c:v>45768</c:v>
                </c:pt>
                <c:pt idx="141">
                  <c:v>45775</c:v>
                </c:pt>
                <c:pt idx="142">
                  <c:v>45782</c:v>
                </c:pt>
                <c:pt idx="143">
                  <c:v>45789</c:v>
                </c:pt>
                <c:pt idx="144">
                  <c:v>45796</c:v>
                </c:pt>
                <c:pt idx="145">
                  <c:v>45803</c:v>
                </c:pt>
                <c:pt idx="146">
                  <c:v>45810</c:v>
                </c:pt>
                <c:pt idx="147">
                  <c:v>45817</c:v>
                </c:pt>
                <c:pt idx="148">
                  <c:v>45824</c:v>
                </c:pt>
                <c:pt idx="149">
                  <c:v>45831</c:v>
                </c:pt>
                <c:pt idx="150">
                  <c:v>45838</c:v>
                </c:pt>
                <c:pt idx="151">
                  <c:v>45845</c:v>
                </c:pt>
                <c:pt idx="152">
                  <c:v>45852</c:v>
                </c:pt>
                <c:pt idx="153">
                  <c:v>45859</c:v>
                </c:pt>
                <c:pt idx="154">
                  <c:v>45866</c:v>
                </c:pt>
                <c:pt idx="155">
                  <c:v>45873</c:v>
                </c:pt>
              </c:numCache>
            </c:numRef>
          </c:xVal>
          <c:yVal>
            <c:numRef>
              <c:f>'calculo crecimiento pasto'!$J$2:$J$157</c:f>
              <c:numCache>
                <c:formatCode>General</c:formatCode>
                <c:ptCount val="156"/>
                <c:pt idx="0">
                  <c:v>7.0954931124698264E-2</c:v>
                </c:pt>
                <c:pt idx="1">
                  <c:v>0.15010732405359695</c:v>
                </c:pt>
                <c:pt idx="2">
                  <c:v>0.22464604743939984</c:v>
                </c:pt>
                <c:pt idx="3">
                  <c:v>0.30838229767428416</c:v>
                </c:pt>
                <c:pt idx="4">
                  <c:v>0.41382456672882062</c:v>
                </c:pt>
                <c:pt idx="5">
                  <c:v>0.49983287079195748</c:v>
                </c:pt>
                <c:pt idx="6">
                  <c:v>0.57715406964138583</c:v>
                </c:pt>
                <c:pt idx="7">
                  <c:v>0.66166272783776359</c:v>
                </c:pt>
                <c:pt idx="8">
                  <c:v>0.71796449272220053</c:v>
                </c:pt>
                <c:pt idx="9">
                  <c:v>0.73492584883569656</c:v>
                </c:pt>
                <c:pt idx="10">
                  <c:v>0.75274272581414503</c:v>
                </c:pt>
                <c:pt idx="11">
                  <c:v>0.7557926080106383</c:v>
                </c:pt>
                <c:pt idx="12">
                  <c:v>0.75640963097870861</c:v>
                </c:pt>
                <c:pt idx="13">
                  <c:v>0.74905413902259221</c:v>
                </c:pt>
                <c:pt idx="14">
                  <c:v>0.72191325903762482</c:v>
                </c:pt>
                <c:pt idx="15">
                  <c:v>0.72666063194715458</c:v>
                </c:pt>
                <c:pt idx="16">
                  <c:v>0.73457261899599613</c:v>
                </c:pt>
                <c:pt idx="17">
                  <c:v>0.73371167772429635</c:v>
                </c:pt>
                <c:pt idx="18">
                  <c:v>0.74373220299784626</c:v>
                </c:pt>
                <c:pt idx="19">
                  <c:v>0.75265148230056511</c:v>
                </c:pt>
                <c:pt idx="20">
                  <c:v>0.73542904326207303</c:v>
                </c:pt>
                <c:pt idx="21">
                  <c:v>0.74312963444776892</c:v>
                </c:pt>
                <c:pt idx="22">
                  <c:v>0.81247741497188608</c:v>
                </c:pt>
                <c:pt idx="23">
                  <c:v>0.81638101123108264</c:v>
                </c:pt>
                <c:pt idx="24">
                  <c:v>0.8081537371897719</c:v>
                </c:pt>
                <c:pt idx="25">
                  <c:v>0.80425194773282449</c:v>
                </c:pt>
                <c:pt idx="26">
                  <c:v>0.77953850656953294</c:v>
                </c:pt>
                <c:pt idx="27">
                  <c:v>0.80578140583669389</c:v>
                </c:pt>
                <c:pt idx="28">
                  <c:v>0.8398766676784758</c:v>
                </c:pt>
                <c:pt idx="29">
                  <c:v>0.86470303398233661</c:v>
                </c:pt>
                <c:pt idx="30">
                  <c:v>0.8461426578783805</c:v>
                </c:pt>
                <c:pt idx="31">
                  <c:v>0.83890009106283325</c:v>
                </c:pt>
                <c:pt idx="32">
                  <c:v>0.82966100776202234</c:v>
                </c:pt>
                <c:pt idx="33">
                  <c:v>0.81289568969255444</c:v>
                </c:pt>
                <c:pt idx="34">
                  <c:v>0.83852879320064178</c:v>
                </c:pt>
                <c:pt idx="35">
                  <c:v>0.83763532948845809</c:v>
                </c:pt>
                <c:pt idx="36">
                  <c:v>0.86320338811557751</c:v>
                </c:pt>
                <c:pt idx="37">
                  <c:v>0.82689298671638978</c:v>
                </c:pt>
                <c:pt idx="38">
                  <c:v>0.79253122154286448</c:v>
                </c:pt>
                <c:pt idx="39">
                  <c:v>0.77311984157957869</c:v>
                </c:pt>
                <c:pt idx="40">
                  <c:v>0.75654243094401796</c:v>
                </c:pt>
                <c:pt idx="41">
                  <c:v>0.74821578277900636</c:v>
                </c:pt>
                <c:pt idx="42">
                  <c:v>0.75028728155760804</c:v>
                </c:pt>
                <c:pt idx="43">
                  <c:v>0.76175505543269295</c:v>
                </c:pt>
                <c:pt idx="44">
                  <c:v>0.72268024659237096</c:v>
                </c:pt>
                <c:pt idx="45">
                  <c:v>0.72145884827197426</c:v>
                </c:pt>
                <c:pt idx="46">
                  <c:v>0.71492816154257544</c:v>
                </c:pt>
                <c:pt idx="47">
                  <c:v>0.71089628232369206</c:v>
                </c:pt>
                <c:pt idx="48">
                  <c:v>0.72350143821459023</c:v>
                </c:pt>
                <c:pt idx="49">
                  <c:v>0.72044523221022494</c:v>
                </c:pt>
                <c:pt idx="50">
                  <c:v>0.69773643814231823</c:v>
                </c:pt>
                <c:pt idx="51">
                  <c:v>0.69141714727606485</c:v>
                </c:pt>
                <c:pt idx="52">
                  <c:v>0.68775475911712403</c:v>
                </c:pt>
                <c:pt idx="53">
                  <c:v>0.69408940780249473</c:v>
                </c:pt>
                <c:pt idx="54">
                  <c:v>0.68977476403162619</c:v>
                </c:pt>
                <c:pt idx="55">
                  <c:v>0.69163486694708232</c:v>
                </c:pt>
                <c:pt idx="56">
                  <c:v>0.69583387537400809</c:v>
                </c:pt>
                <c:pt idx="57">
                  <c:v>0.72062320223176202</c:v>
                </c:pt>
                <c:pt idx="58">
                  <c:v>0.74949680557362353</c:v>
                </c:pt>
                <c:pt idx="59">
                  <c:v>0.76575802581559049</c:v>
                </c:pt>
                <c:pt idx="60">
                  <c:v>0.78574667909746609</c:v>
                </c:pt>
                <c:pt idx="61">
                  <c:v>0.80524839917320723</c:v>
                </c:pt>
                <c:pt idx="62">
                  <c:v>0.83501456282612774</c:v>
                </c:pt>
                <c:pt idx="63">
                  <c:v>0.84129049043840243</c:v>
                </c:pt>
                <c:pt idx="64">
                  <c:v>0.85782995822673191</c:v>
                </c:pt>
                <c:pt idx="65">
                  <c:v>0.84878962317332285</c:v>
                </c:pt>
                <c:pt idx="66">
                  <c:v>0.83001152739834927</c:v>
                </c:pt>
                <c:pt idx="67">
                  <c:v>0.79558833094835424</c:v>
                </c:pt>
                <c:pt idx="68">
                  <c:v>0.78969363861064124</c:v>
                </c:pt>
                <c:pt idx="69">
                  <c:v>0.81839649913996204</c:v>
                </c:pt>
                <c:pt idx="70">
                  <c:v>0.80884574245118013</c:v>
                </c:pt>
                <c:pt idx="71">
                  <c:v>0.81534119653672132</c:v>
                </c:pt>
                <c:pt idx="72">
                  <c:v>0.8185455603255134</c:v>
                </c:pt>
                <c:pt idx="73">
                  <c:v>0.81076275963748312</c:v>
                </c:pt>
                <c:pt idx="74">
                  <c:v>0.81661499212234212</c:v>
                </c:pt>
                <c:pt idx="75">
                  <c:v>0.81788607750458919</c:v>
                </c:pt>
                <c:pt idx="76">
                  <c:v>0.87690617637280832</c:v>
                </c:pt>
                <c:pt idx="77">
                  <c:v>0.91258871399043107</c:v>
                </c:pt>
                <c:pt idx="78">
                  <c:v>0.91883392596447089</c:v>
                </c:pt>
                <c:pt idx="79">
                  <c:v>0.96493719555382096</c:v>
                </c:pt>
                <c:pt idx="80">
                  <c:v>0.95914007053755979</c:v>
                </c:pt>
                <c:pt idx="81">
                  <c:v>0.93317451541563678</c:v>
                </c:pt>
                <c:pt idx="82">
                  <c:v>0.9501494225460011</c:v>
                </c:pt>
                <c:pt idx="83">
                  <c:v>1</c:v>
                </c:pt>
                <c:pt idx="84">
                  <c:v>0.98235296243296755</c:v>
                </c:pt>
                <c:pt idx="85">
                  <c:v>0.94172611046066224</c:v>
                </c:pt>
                <c:pt idx="86">
                  <c:v>0.89453243571397589</c:v>
                </c:pt>
                <c:pt idx="87">
                  <c:v>0.8816101860283595</c:v>
                </c:pt>
                <c:pt idx="88">
                  <c:v>0.85020163913100022</c:v>
                </c:pt>
                <c:pt idx="89">
                  <c:v>0.84269166558258524</c:v>
                </c:pt>
                <c:pt idx="90">
                  <c:v>0.87801193934926203</c:v>
                </c:pt>
                <c:pt idx="91">
                  <c:v>0.85323254990387798</c:v>
                </c:pt>
                <c:pt idx="92">
                  <c:v>0.80801551681771522</c:v>
                </c:pt>
                <c:pt idx="93">
                  <c:v>0.78561026552765845</c:v>
                </c:pt>
                <c:pt idx="94">
                  <c:v>0.77894948903632388</c:v>
                </c:pt>
                <c:pt idx="95">
                  <c:v>0.77818701848720062</c:v>
                </c:pt>
                <c:pt idx="96">
                  <c:v>0.73497553589754705</c:v>
                </c:pt>
                <c:pt idx="97">
                  <c:v>0.73201328361013529</c:v>
                </c:pt>
                <c:pt idx="98">
                  <c:v>0.71727339086191688</c:v>
                </c:pt>
                <c:pt idx="99">
                  <c:v>0.62774814622089237</c:v>
                </c:pt>
                <c:pt idx="100">
                  <c:v>0.61786855152277287</c:v>
                </c:pt>
                <c:pt idx="101">
                  <c:v>0.61914686411401643</c:v>
                </c:pt>
                <c:pt idx="102">
                  <c:v>0.62166283624589846</c:v>
                </c:pt>
                <c:pt idx="103">
                  <c:v>0.63539995374586233</c:v>
                </c:pt>
                <c:pt idx="104">
                  <c:v>0.64631845973721858</c:v>
                </c:pt>
                <c:pt idx="105">
                  <c:v>0.63420565745920232</c:v>
                </c:pt>
                <c:pt idx="106">
                  <c:v>0.67155135654712861</c:v>
                </c:pt>
                <c:pt idx="107">
                  <c:v>0.68432183484381992</c:v>
                </c:pt>
                <c:pt idx="108">
                  <c:v>0.74383970773166808</c:v>
                </c:pt>
                <c:pt idx="109">
                  <c:v>0.79171093332176967</c:v>
                </c:pt>
                <c:pt idx="110">
                  <c:v>0.82517200757411491</c:v>
                </c:pt>
                <c:pt idx="111">
                  <c:v>0.84482730584103027</c:v>
                </c:pt>
                <c:pt idx="112">
                  <c:v>0.84983305147218235</c:v>
                </c:pt>
                <c:pt idx="113">
                  <c:v>0.88388404665886111</c:v>
                </c:pt>
                <c:pt idx="114">
                  <c:v>0.90078397149588763</c:v>
                </c:pt>
                <c:pt idx="115">
                  <c:v>0.89255398725120327</c:v>
                </c:pt>
                <c:pt idx="116">
                  <c:v>0.87803452437737595</c:v>
                </c:pt>
                <c:pt idx="117">
                  <c:v>0.83058157350794259</c:v>
                </c:pt>
                <c:pt idx="118">
                  <c:v>0.81733590621973595</c:v>
                </c:pt>
                <c:pt idx="119">
                  <c:v>0.82748381105184798</c:v>
                </c:pt>
                <c:pt idx="120">
                  <c:v>0.83903560123151633</c:v>
                </c:pt>
                <c:pt idx="121">
                  <c:v>0.842072835812266</c:v>
                </c:pt>
                <c:pt idx="122">
                  <c:v>0.8140619805443533</c:v>
                </c:pt>
                <c:pt idx="123">
                  <c:v>0.81256594828209239</c:v>
                </c:pt>
                <c:pt idx="124">
                  <c:v>0.80336751803188633</c:v>
                </c:pt>
                <c:pt idx="125">
                  <c:v>0.84478303918592712</c:v>
                </c:pt>
                <c:pt idx="126">
                  <c:v>0.89903860052324991</c:v>
                </c:pt>
                <c:pt idx="127">
                  <c:v>0.9299502768021044</c:v>
                </c:pt>
                <c:pt idx="128">
                  <c:v>0.93468319529364141</c:v>
                </c:pt>
                <c:pt idx="129">
                  <c:v>0.9161716028504111</c:v>
                </c:pt>
                <c:pt idx="130">
                  <c:v>0.90106763944899748</c:v>
                </c:pt>
                <c:pt idx="131">
                  <c:v>0.89085378633479317</c:v>
                </c:pt>
                <c:pt idx="132">
                  <c:v>0.88258043883613013</c:v>
                </c:pt>
                <c:pt idx="133">
                  <c:v>0.88465013081248278</c:v>
                </c:pt>
                <c:pt idx="134">
                  <c:v>0.84641548501799568</c:v>
                </c:pt>
                <c:pt idx="135">
                  <c:v>0.77715262419958653</c:v>
                </c:pt>
                <c:pt idx="136">
                  <c:v>0.791673893875663</c:v>
                </c:pt>
                <c:pt idx="137">
                  <c:v>0.78093606810921756</c:v>
                </c:pt>
                <c:pt idx="138">
                  <c:v>0.79227736582686492</c:v>
                </c:pt>
                <c:pt idx="139">
                  <c:v>0.80844101874738006</c:v>
                </c:pt>
                <c:pt idx="140">
                  <c:v>0.81857266235924997</c:v>
                </c:pt>
                <c:pt idx="141">
                  <c:v>0.81706849948686811</c:v>
                </c:pt>
                <c:pt idx="142">
                  <c:v>0.79324129482676375</c:v>
                </c:pt>
                <c:pt idx="143">
                  <c:v>0.77601795238714699</c:v>
                </c:pt>
                <c:pt idx="144">
                  <c:v>0.75441401789456941</c:v>
                </c:pt>
                <c:pt idx="145">
                  <c:v>0.74916706416316137</c:v>
                </c:pt>
                <c:pt idx="146">
                  <c:v>0.74137974646950833</c:v>
                </c:pt>
                <c:pt idx="147">
                  <c:v>0.70652653108422581</c:v>
                </c:pt>
                <c:pt idx="148">
                  <c:v>0.68735726262232044</c:v>
                </c:pt>
                <c:pt idx="149">
                  <c:v>0.68643760027752476</c:v>
                </c:pt>
                <c:pt idx="150">
                  <c:v>0.67992136796611879</c:v>
                </c:pt>
                <c:pt idx="151">
                  <c:v>0.68689652804879808</c:v>
                </c:pt>
                <c:pt idx="152">
                  <c:v>0.69459711923449396</c:v>
                </c:pt>
                <c:pt idx="153">
                  <c:v>0.70787892256768281</c:v>
                </c:pt>
                <c:pt idx="154">
                  <c:v>0.70533584840206398</c:v>
                </c:pt>
                <c:pt idx="155">
                  <c:v>0.70591854212740113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8-4947-B79A-904317637AD2}"/>
            </c:ext>
          </c:extLst>
        </c:ser>
        <c:ser>
          <c:idx val="2"/>
          <c:order val="2"/>
          <c:tx>
            <c:strRef>
              <c:f>'calculo crecimiento pasto'!$K$1</c:f>
              <c:strCache>
                <c:ptCount val="1"/>
                <c:pt idx="0">
                  <c:v>agua*luz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2225">
                <a:solidFill>
                  <a:schemeClr val="accent3"/>
                </a:solidFill>
              </a:ln>
              <a:effectLst/>
            </c:spPr>
          </c:marker>
          <c:xVal>
            <c:numRef>
              <c:f>'calculo crecimiento pasto'!$A$2:$A$157</c:f>
              <c:numCache>
                <c:formatCode>yyyy\-mm\-dd\ hh:mm:ss</c:formatCode>
                <c:ptCount val="156"/>
                <c:pt idx="0">
                  <c:v>44760</c:v>
                </c:pt>
                <c:pt idx="1">
                  <c:v>44767</c:v>
                </c:pt>
                <c:pt idx="2">
                  <c:v>44774</c:v>
                </c:pt>
                <c:pt idx="3">
                  <c:v>44781</c:v>
                </c:pt>
                <c:pt idx="4">
                  <c:v>44788</c:v>
                </c:pt>
                <c:pt idx="5">
                  <c:v>44795</c:v>
                </c:pt>
                <c:pt idx="6">
                  <c:v>44802</c:v>
                </c:pt>
                <c:pt idx="7">
                  <c:v>44809</c:v>
                </c:pt>
                <c:pt idx="8">
                  <c:v>44816</c:v>
                </c:pt>
                <c:pt idx="9">
                  <c:v>44823</c:v>
                </c:pt>
                <c:pt idx="10">
                  <c:v>44830</c:v>
                </c:pt>
                <c:pt idx="11">
                  <c:v>44837</c:v>
                </c:pt>
                <c:pt idx="12">
                  <c:v>44844</c:v>
                </c:pt>
                <c:pt idx="13">
                  <c:v>44851</c:v>
                </c:pt>
                <c:pt idx="14">
                  <c:v>44858</c:v>
                </c:pt>
                <c:pt idx="15">
                  <c:v>44865</c:v>
                </c:pt>
                <c:pt idx="16">
                  <c:v>44872</c:v>
                </c:pt>
                <c:pt idx="17">
                  <c:v>44879</c:v>
                </c:pt>
                <c:pt idx="18">
                  <c:v>44886</c:v>
                </c:pt>
                <c:pt idx="19">
                  <c:v>44893</c:v>
                </c:pt>
                <c:pt idx="20">
                  <c:v>44900</c:v>
                </c:pt>
                <c:pt idx="21">
                  <c:v>44907</c:v>
                </c:pt>
                <c:pt idx="22">
                  <c:v>44914</c:v>
                </c:pt>
                <c:pt idx="23">
                  <c:v>44921</c:v>
                </c:pt>
                <c:pt idx="24">
                  <c:v>44928</c:v>
                </c:pt>
                <c:pt idx="25">
                  <c:v>44935</c:v>
                </c:pt>
                <c:pt idx="26">
                  <c:v>44942</c:v>
                </c:pt>
                <c:pt idx="27">
                  <c:v>44949</c:v>
                </c:pt>
                <c:pt idx="28">
                  <c:v>44956</c:v>
                </c:pt>
                <c:pt idx="29">
                  <c:v>44963</c:v>
                </c:pt>
                <c:pt idx="30">
                  <c:v>44970</c:v>
                </c:pt>
                <c:pt idx="31">
                  <c:v>44977</c:v>
                </c:pt>
                <c:pt idx="32">
                  <c:v>44984</c:v>
                </c:pt>
                <c:pt idx="33">
                  <c:v>44991</c:v>
                </c:pt>
                <c:pt idx="34">
                  <c:v>44998</c:v>
                </c:pt>
                <c:pt idx="35">
                  <c:v>45005</c:v>
                </c:pt>
                <c:pt idx="36">
                  <c:v>45012</c:v>
                </c:pt>
                <c:pt idx="37">
                  <c:v>45019</c:v>
                </c:pt>
                <c:pt idx="38">
                  <c:v>45026</c:v>
                </c:pt>
                <c:pt idx="39">
                  <c:v>45033</c:v>
                </c:pt>
                <c:pt idx="40">
                  <c:v>45040</c:v>
                </c:pt>
                <c:pt idx="41">
                  <c:v>45047</c:v>
                </c:pt>
                <c:pt idx="42">
                  <c:v>45054</c:v>
                </c:pt>
                <c:pt idx="43">
                  <c:v>45061</c:v>
                </c:pt>
                <c:pt idx="44">
                  <c:v>45068</c:v>
                </c:pt>
                <c:pt idx="45">
                  <c:v>45075</c:v>
                </c:pt>
                <c:pt idx="46">
                  <c:v>45082</c:v>
                </c:pt>
                <c:pt idx="47">
                  <c:v>45089</c:v>
                </c:pt>
                <c:pt idx="48">
                  <c:v>45096</c:v>
                </c:pt>
                <c:pt idx="49">
                  <c:v>45103</c:v>
                </c:pt>
                <c:pt idx="50">
                  <c:v>45110</c:v>
                </c:pt>
                <c:pt idx="51">
                  <c:v>45117</c:v>
                </c:pt>
                <c:pt idx="52">
                  <c:v>45124</c:v>
                </c:pt>
                <c:pt idx="53">
                  <c:v>45131</c:v>
                </c:pt>
                <c:pt idx="54">
                  <c:v>45138</c:v>
                </c:pt>
                <c:pt idx="55">
                  <c:v>45145</c:v>
                </c:pt>
                <c:pt idx="56">
                  <c:v>45152</c:v>
                </c:pt>
                <c:pt idx="57">
                  <c:v>45159</c:v>
                </c:pt>
                <c:pt idx="58">
                  <c:v>45166</c:v>
                </c:pt>
                <c:pt idx="59">
                  <c:v>45173</c:v>
                </c:pt>
                <c:pt idx="60">
                  <c:v>45180</c:v>
                </c:pt>
                <c:pt idx="61">
                  <c:v>45187</c:v>
                </c:pt>
                <c:pt idx="62">
                  <c:v>45194</c:v>
                </c:pt>
                <c:pt idx="63">
                  <c:v>45201</c:v>
                </c:pt>
                <c:pt idx="64">
                  <c:v>45208</c:v>
                </c:pt>
                <c:pt idx="65">
                  <c:v>45215</c:v>
                </c:pt>
                <c:pt idx="66">
                  <c:v>45222</c:v>
                </c:pt>
                <c:pt idx="67">
                  <c:v>45229</c:v>
                </c:pt>
                <c:pt idx="68">
                  <c:v>45236</c:v>
                </c:pt>
                <c:pt idx="69">
                  <c:v>45243</c:v>
                </c:pt>
                <c:pt idx="70">
                  <c:v>45250</c:v>
                </c:pt>
                <c:pt idx="71">
                  <c:v>45257</c:v>
                </c:pt>
                <c:pt idx="72">
                  <c:v>45264</c:v>
                </c:pt>
                <c:pt idx="73">
                  <c:v>45271</c:v>
                </c:pt>
                <c:pt idx="74">
                  <c:v>45278</c:v>
                </c:pt>
                <c:pt idx="75">
                  <c:v>45285</c:v>
                </c:pt>
                <c:pt idx="76">
                  <c:v>45292</c:v>
                </c:pt>
                <c:pt idx="77">
                  <c:v>45299</c:v>
                </c:pt>
                <c:pt idx="78">
                  <c:v>45306</c:v>
                </c:pt>
                <c:pt idx="79">
                  <c:v>45313</c:v>
                </c:pt>
                <c:pt idx="80">
                  <c:v>45320</c:v>
                </c:pt>
                <c:pt idx="81">
                  <c:v>45327</c:v>
                </c:pt>
                <c:pt idx="82">
                  <c:v>45334</c:v>
                </c:pt>
                <c:pt idx="83">
                  <c:v>45341</c:v>
                </c:pt>
                <c:pt idx="84">
                  <c:v>45348</c:v>
                </c:pt>
                <c:pt idx="85">
                  <c:v>45355</c:v>
                </c:pt>
                <c:pt idx="86">
                  <c:v>45362</c:v>
                </c:pt>
                <c:pt idx="87">
                  <c:v>45369</c:v>
                </c:pt>
                <c:pt idx="88">
                  <c:v>45376</c:v>
                </c:pt>
                <c:pt idx="89">
                  <c:v>45383</c:v>
                </c:pt>
                <c:pt idx="90">
                  <c:v>45390</c:v>
                </c:pt>
                <c:pt idx="91">
                  <c:v>45397</c:v>
                </c:pt>
                <c:pt idx="92">
                  <c:v>45404</c:v>
                </c:pt>
                <c:pt idx="93">
                  <c:v>45411</c:v>
                </c:pt>
                <c:pt idx="94">
                  <c:v>45418</c:v>
                </c:pt>
                <c:pt idx="95">
                  <c:v>45425</c:v>
                </c:pt>
                <c:pt idx="96">
                  <c:v>45432</c:v>
                </c:pt>
                <c:pt idx="97">
                  <c:v>45439</c:v>
                </c:pt>
                <c:pt idx="98">
                  <c:v>45446</c:v>
                </c:pt>
                <c:pt idx="99">
                  <c:v>45453</c:v>
                </c:pt>
                <c:pt idx="100">
                  <c:v>45460</c:v>
                </c:pt>
                <c:pt idx="101">
                  <c:v>45467</c:v>
                </c:pt>
                <c:pt idx="102">
                  <c:v>45474</c:v>
                </c:pt>
                <c:pt idx="103">
                  <c:v>45509</c:v>
                </c:pt>
                <c:pt idx="104">
                  <c:v>45516</c:v>
                </c:pt>
                <c:pt idx="105">
                  <c:v>45523</c:v>
                </c:pt>
                <c:pt idx="106">
                  <c:v>45530</c:v>
                </c:pt>
                <c:pt idx="107">
                  <c:v>45537</c:v>
                </c:pt>
                <c:pt idx="108">
                  <c:v>45544</c:v>
                </c:pt>
                <c:pt idx="109">
                  <c:v>45551</c:v>
                </c:pt>
                <c:pt idx="110">
                  <c:v>45558</c:v>
                </c:pt>
                <c:pt idx="111">
                  <c:v>45565</c:v>
                </c:pt>
                <c:pt idx="112">
                  <c:v>45572</c:v>
                </c:pt>
                <c:pt idx="113">
                  <c:v>45579</c:v>
                </c:pt>
                <c:pt idx="114">
                  <c:v>45586</c:v>
                </c:pt>
                <c:pt idx="115">
                  <c:v>45593</c:v>
                </c:pt>
                <c:pt idx="116">
                  <c:v>45600</c:v>
                </c:pt>
                <c:pt idx="117">
                  <c:v>45607</c:v>
                </c:pt>
                <c:pt idx="118">
                  <c:v>45614</c:v>
                </c:pt>
                <c:pt idx="119">
                  <c:v>45621</c:v>
                </c:pt>
                <c:pt idx="120">
                  <c:v>45628</c:v>
                </c:pt>
                <c:pt idx="121">
                  <c:v>45635</c:v>
                </c:pt>
                <c:pt idx="122">
                  <c:v>45642</c:v>
                </c:pt>
                <c:pt idx="123">
                  <c:v>45649</c:v>
                </c:pt>
                <c:pt idx="124">
                  <c:v>45656</c:v>
                </c:pt>
                <c:pt idx="125">
                  <c:v>45663</c:v>
                </c:pt>
                <c:pt idx="126">
                  <c:v>45670</c:v>
                </c:pt>
                <c:pt idx="127">
                  <c:v>45677</c:v>
                </c:pt>
                <c:pt idx="128">
                  <c:v>45684</c:v>
                </c:pt>
                <c:pt idx="129">
                  <c:v>45691</c:v>
                </c:pt>
                <c:pt idx="130">
                  <c:v>45698</c:v>
                </c:pt>
                <c:pt idx="131">
                  <c:v>45705</c:v>
                </c:pt>
                <c:pt idx="132">
                  <c:v>45712</c:v>
                </c:pt>
                <c:pt idx="133">
                  <c:v>45719</c:v>
                </c:pt>
                <c:pt idx="134">
                  <c:v>45726</c:v>
                </c:pt>
                <c:pt idx="135">
                  <c:v>45733</c:v>
                </c:pt>
                <c:pt idx="136">
                  <c:v>45740</c:v>
                </c:pt>
                <c:pt idx="137">
                  <c:v>45747</c:v>
                </c:pt>
                <c:pt idx="138">
                  <c:v>45754</c:v>
                </c:pt>
                <c:pt idx="139">
                  <c:v>45761</c:v>
                </c:pt>
                <c:pt idx="140">
                  <c:v>45768</c:v>
                </c:pt>
                <c:pt idx="141">
                  <c:v>45775</c:v>
                </c:pt>
                <c:pt idx="142">
                  <c:v>45782</c:v>
                </c:pt>
                <c:pt idx="143">
                  <c:v>45789</c:v>
                </c:pt>
                <c:pt idx="144">
                  <c:v>45796</c:v>
                </c:pt>
                <c:pt idx="145">
                  <c:v>45803</c:v>
                </c:pt>
                <c:pt idx="146">
                  <c:v>45810</c:v>
                </c:pt>
                <c:pt idx="147">
                  <c:v>45817</c:v>
                </c:pt>
                <c:pt idx="148">
                  <c:v>45824</c:v>
                </c:pt>
                <c:pt idx="149">
                  <c:v>45831</c:v>
                </c:pt>
                <c:pt idx="150">
                  <c:v>45838</c:v>
                </c:pt>
                <c:pt idx="151">
                  <c:v>45845</c:v>
                </c:pt>
                <c:pt idx="152">
                  <c:v>45852</c:v>
                </c:pt>
                <c:pt idx="153">
                  <c:v>45859</c:v>
                </c:pt>
                <c:pt idx="154">
                  <c:v>45866</c:v>
                </c:pt>
                <c:pt idx="155">
                  <c:v>45873</c:v>
                </c:pt>
              </c:numCache>
            </c:numRef>
          </c:xVal>
          <c:yVal>
            <c:numRef>
              <c:f>'calculo crecimiento pasto'!$K$2:$K$157</c:f>
              <c:numCache>
                <c:formatCode>General</c:formatCode>
                <c:ptCount val="156"/>
                <c:pt idx="0">
                  <c:v>4.3587199273293674E-3</c:v>
                </c:pt>
                <c:pt idx="1">
                  <c:v>2.4977777658737085E-2</c:v>
                </c:pt>
                <c:pt idx="2">
                  <c:v>5.8801117134167441E-2</c:v>
                </c:pt>
                <c:pt idx="3">
                  <c:v>0.11824227159159119</c:v>
                </c:pt>
                <c:pt idx="4">
                  <c:v>0.17738830469854097</c:v>
                </c:pt>
                <c:pt idx="5">
                  <c:v>0.23597712531271642</c:v>
                </c:pt>
                <c:pt idx="6">
                  <c:v>0.30949406063378676</c:v>
                </c:pt>
                <c:pt idx="7">
                  <c:v>0.35481112441220047</c:v>
                </c:pt>
                <c:pt idx="8">
                  <c:v>0.42347243305444116</c:v>
                </c:pt>
                <c:pt idx="9">
                  <c:v>0.48792478091631597</c:v>
                </c:pt>
                <c:pt idx="10">
                  <c:v>0.48050786606902435</c:v>
                </c:pt>
                <c:pt idx="11">
                  <c:v>0.51466090175055701</c:v>
                </c:pt>
                <c:pt idx="12">
                  <c:v>0.51508106674526866</c:v>
                </c:pt>
                <c:pt idx="13">
                  <c:v>0.46102446122949858</c:v>
                </c:pt>
                <c:pt idx="14">
                  <c:v>0.47429049319609717</c:v>
                </c:pt>
                <c:pt idx="15">
                  <c:v>0.47599919718215861</c:v>
                </c:pt>
                <c:pt idx="16">
                  <c:v>0.49866143952601377</c:v>
                </c:pt>
                <c:pt idx="17">
                  <c:v>0.56717008519384693</c:v>
                </c:pt>
                <c:pt idx="18">
                  <c:v>0.50952339516829925</c:v>
                </c:pt>
                <c:pt idx="19">
                  <c:v>0.46654103358197219</c:v>
                </c:pt>
                <c:pt idx="20">
                  <c:v>0.40944737384551161</c:v>
                </c:pt>
                <c:pt idx="21">
                  <c:v>0.38219349607283365</c:v>
                </c:pt>
                <c:pt idx="22">
                  <c:v>0.35314076149862339</c:v>
                </c:pt>
                <c:pt idx="23">
                  <c:v>0.29986554230772955</c:v>
                </c:pt>
                <c:pt idx="24">
                  <c:v>0.25995123164014938</c:v>
                </c:pt>
                <c:pt idx="25">
                  <c:v>0.37026399686358036</c:v>
                </c:pt>
                <c:pt idx="26">
                  <c:v>0.38782879375022927</c:v>
                </c:pt>
                <c:pt idx="27">
                  <c:v>0.34717069092921776</c:v>
                </c:pt>
                <c:pt idx="28">
                  <c:v>0.32904795949971843</c:v>
                </c:pt>
                <c:pt idx="29">
                  <c:v>0.35183512191906396</c:v>
                </c:pt>
                <c:pt idx="30">
                  <c:v>0.38419489005514862</c:v>
                </c:pt>
                <c:pt idx="31">
                  <c:v>0.43258108653151417</c:v>
                </c:pt>
                <c:pt idx="32">
                  <c:v>0.42200629101252807</c:v>
                </c:pt>
                <c:pt idx="33">
                  <c:v>0.41629094091166252</c:v>
                </c:pt>
                <c:pt idx="34">
                  <c:v>0.29922692316644284</c:v>
                </c:pt>
                <c:pt idx="35">
                  <c:v>0.19974326564293163</c:v>
                </c:pt>
                <c:pt idx="36">
                  <c:v>0.1957886007302905</c:v>
                </c:pt>
                <c:pt idx="37">
                  <c:v>0.23011501731420589</c:v>
                </c:pt>
                <c:pt idx="38">
                  <c:v>0.22275938730565198</c:v>
                </c:pt>
                <c:pt idx="39">
                  <c:v>0.31287509579070627</c:v>
                </c:pt>
                <c:pt idx="40">
                  <c:v>0.28573824326262975</c:v>
                </c:pt>
                <c:pt idx="41">
                  <c:v>0.2370097079193646</c:v>
                </c:pt>
                <c:pt idx="42">
                  <c:v>0.2335507367872767</c:v>
                </c:pt>
                <c:pt idx="43">
                  <c:v>0.20832403465170518</c:v>
                </c:pt>
                <c:pt idx="44">
                  <c:v>0.28325455619117063</c:v>
                </c:pt>
                <c:pt idx="45">
                  <c:v>0.2976908082060547</c:v>
                </c:pt>
                <c:pt idx="46">
                  <c:v>0.3103189994916048</c:v>
                </c:pt>
                <c:pt idx="47">
                  <c:v>0.29717156211556583</c:v>
                </c:pt>
                <c:pt idx="48">
                  <c:v>0.24914432278742243</c:v>
                </c:pt>
                <c:pt idx="49">
                  <c:v>0.24572100485982021</c:v>
                </c:pt>
                <c:pt idx="50">
                  <c:v>0.31086392653712264</c:v>
                </c:pt>
                <c:pt idx="51">
                  <c:v>0.33074371849700546</c:v>
                </c:pt>
                <c:pt idx="52">
                  <c:v>0.3104791124189194</c:v>
                </c:pt>
                <c:pt idx="53">
                  <c:v>0.30285514536720115</c:v>
                </c:pt>
                <c:pt idx="54">
                  <c:v>0.27489715724591773</c:v>
                </c:pt>
                <c:pt idx="55">
                  <c:v>0.28001553384626626</c:v>
                </c:pt>
                <c:pt idx="56">
                  <c:v>0.35411139164464123</c:v>
                </c:pt>
                <c:pt idx="57">
                  <c:v>0.36891578499199229</c:v>
                </c:pt>
                <c:pt idx="58">
                  <c:v>0.34037564826573641</c:v>
                </c:pt>
                <c:pt idx="59">
                  <c:v>0.30563120935851351</c:v>
                </c:pt>
                <c:pt idx="60">
                  <c:v>0.28874582629900136</c:v>
                </c:pt>
                <c:pt idx="61">
                  <c:v>0.2883021650233667</c:v>
                </c:pt>
                <c:pt idx="62">
                  <c:v>0.29113831521370009</c:v>
                </c:pt>
                <c:pt idx="63">
                  <c:v>0.36012713340595864</c:v>
                </c:pt>
                <c:pt idx="64">
                  <c:v>0.38450702371955114</c:v>
                </c:pt>
                <c:pt idx="65">
                  <c:v>0.28720330680322542</c:v>
                </c:pt>
                <c:pt idx="66">
                  <c:v>0.43997404565998066</c:v>
                </c:pt>
                <c:pt idx="67">
                  <c:v>0.50550840705772571</c:v>
                </c:pt>
                <c:pt idx="68">
                  <c:v>0.50769351384477901</c:v>
                </c:pt>
                <c:pt idx="69">
                  <c:v>0.55625548903657029</c:v>
                </c:pt>
                <c:pt idx="70">
                  <c:v>0.48478873585610771</c:v>
                </c:pt>
                <c:pt idx="71">
                  <c:v>0.46013010905726037</c:v>
                </c:pt>
                <c:pt idx="72">
                  <c:v>0.36185639950597964</c:v>
                </c:pt>
                <c:pt idx="73">
                  <c:v>0.35485836083365335</c:v>
                </c:pt>
                <c:pt idx="74">
                  <c:v>0.32475794936061081</c:v>
                </c:pt>
                <c:pt idx="75">
                  <c:v>0.26025216422831876</c:v>
                </c:pt>
                <c:pt idx="76">
                  <c:v>0.17484847648037688</c:v>
                </c:pt>
                <c:pt idx="77">
                  <c:v>0.19959749781986308</c:v>
                </c:pt>
                <c:pt idx="78">
                  <c:v>0.16746951987876613</c:v>
                </c:pt>
                <c:pt idx="79">
                  <c:v>0.17587244472164826</c:v>
                </c:pt>
                <c:pt idx="80">
                  <c:v>0.20548954848492651</c:v>
                </c:pt>
                <c:pt idx="81">
                  <c:v>0.26016442485303048</c:v>
                </c:pt>
                <c:pt idx="82">
                  <c:v>0.17870922815416726</c:v>
                </c:pt>
                <c:pt idx="83">
                  <c:v>0.14640114758248252</c:v>
                </c:pt>
                <c:pt idx="84">
                  <c:v>0.14879112037525752</c:v>
                </c:pt>
                <c:pt idx="85">
                  <c:v>0.12157969361275953</c:v>
                </c:pt>
                <c:pt idx="86">
                  <c:v>0.1121656568619499</c:v>
                </c:pt>
                <c:pt idx="87">
                  <c:v>0.11545515219947802</c:v>
                </c:pt>
                <c:pt idx="88">
                  <c:v>0.11507243516716939</c:v>
                </c:pt>
                <c:pt idx="89">
                  <c:v>5.3614843966692208E-2</c:v>
                </c:pt>
                <c:pt idx="90">
                  <c:v>5.5862037150396053E-2</c:v>
                </c:pt>
                <c:pt idx="91">
                  <c:v>0.12289831766820687</c:v>
                </c:pt>
                <c:pt idx="92">
                  <c:v>0.16295309131671079</c:v>
                </c:pt>
                <c:pt idx="93">
                  <c:v>0.23427108922240697</c:v>
                </c:pt>
                <c:pt idx="94">
                  <c:v>0.34297176894705406</c:v>
                </c:pt>
                <c:pt idx="95">
                  <c:v>0.36384560538668292</c:v>
                </c:pt>
                <c:pt idx="96">
                  <c:v>0.35133207415910933</c:v>
                </c:pt>
                <c:pt idx="97">
                  <c:v>0.39994819098604556</c:v>
                </c:pt>
                <c:pt idx="98">
                  <c:v>0.43196187584014023</c:v>
                </c:pt>
                <c:pt idx="99">
                  <c:v>0.42762727064730943</c:v>
                </c:pt>
                <c:pt idx="100">
                  <c:v>0.41338956586145187</c:v>
                </c:pt>
                <c:pt idx="101">
                  <c:v>0.37344205423061255</c:v>
                </c:pt>
                <c:pt idx="102">
                  <c:v>0.3657272208511016</c:v>
                </c:pt>
                <c:pt idx="103">
                  <c:v>0.33214941468699838</c:v>
                </c:pt>
                <c:pt idx="104">
                  <c:v>0.28871908917803013</c:v>
                </c:pt>
                <c:pt idx="105">
                  <c:v>0.27495980660074099</c:v>
                </c:pt>
                <c:pt idx="106">
                  <c:v>0.21510496577950389</c:v>
                </c:pt>
                <c:pt idx="107">
                  <c:v>0.19199815212688393</c:v>
                </c:pt>
                <c:pt idx="108">
                  <c:v>0.16708305644938823</c:v>
                </c:pt>
                <c:pt idx="109">
                  <c:v>8.3907597017310154E-2</c:v>
                </c:pt>
                <c:pt idx="110">
                  <c:v>0.12804753370422728</c:v>
                </c:pt>
                <c:pt idx="111">
                  <c:v>0.14022237031383905</c:v>
                </c:pt>
                <c:pt idx="112">
                  <c:v>0.21950375247290105</c:v>
                </c:pt>
                <c:pt idx="113">
                  <c:v>0.25097205442638326</c:v>
                </c:pt>
                <c:pt idx="114">
                  <c:v>0.37639711643301288</c:v>
                </c:pt>
                <c:pt idx="115">
                  <c:v>0.42650689644785794</c:v>
                </c:pt>
                <c:pt idx="116">
                  <c:v>0.50862433633032533</c:v>
                </c:pt>
                <c:pt idx="117">
                  <c:v>0.54267092428250785</c:v>
                </c:pt>
                <c:pt idx="118">
                  <c:v>0.72712618844609544</c:v>
                </c:pt>
                <c:pt idx="119">
                  <c:v>0.65837016744644972</c:v>
                </c:pt>
                <c:pt idx="120">
                  <c:v>0.5714164490371757</c:v>
                </c:pt>
                <c:pt idx="121">
                  <c:v>0.5557211753343797</c:v>
                </c:pt>
                <c:pt idx="122">
                  <c:v>0.49869968599713149</c:v>
                </c:pt>
                <c:pt idx="123">
                  <c:v>0.47015143931907077</c:v>
                </c:pt>
                <c:pt idx="124">
                  <c:v>0.41459756478634857</c:v>
                </c:pt>
                <c:pt idx="125">
                  <c:v>0.38122518720499016</c:v>
                </c:pt>
                <c:pt idx="126">
                  <c:v>0.22993722033465283</c:v>
                </c:pt>
                <c:pt idx="127">
                  <c:v>0.10475770985830811</c:v>
                </c:pt>
                <c:pt idx="128">
                  <c:v>0.10182060628842217</c:v>
                </c:pt>
                <c:pt idx="129">
                  <c:v>0.18430116455956294</c:v>
                </c:pt>
                <c:pt idx="130">
                  <c:v>0.31987102853446397</c:v>
                </c:pt>
                <c:pt idx="131">
                  <c:v>0.3427054604590602</c:v>
                </c:pt>
                <c:pt idx="132">
                  <c:v>0.29699863218956096</c:v>
                </c:pt>
                <c:pt idx="133">
                  <c:v>0.371894941499265</c:v>
                </c:pt>
                <c:pt idx="134">
                  <c:v>0.43524225514299769</c:v>
                </c:pt>
                <c:pt idx="135">
                  <c:v>0.453202412103902</c:v>
                </c:pt>
                <c:pt idx="136">
                  <c:v>0.5136427786693083</c:v>
                </c:pt>
                <c:pt idx="137">
                  <c:v>0.52848766063926467</c:v>
                </c:pt>
                <c:pt idx="138">
                  <c:v>0.51603991113134506</c:v>
                </c:pt>
                <c:pt idx="139">
                  <c:v>0.47397250850196582</c:v>
                </c:pt>
                <c:pt idx="140">
                  <c:v>0.74853362095917586</c:v>
                </c:pt>
                <c:pt idx="141">
                  <c:v>0.81706849948686811</c:v>
                </c:pt>
                <c:pt idx="142">
                  <c:v>0.70200950975808785</c:v>
                </c:pt>
                <c:pt idx="143">
                  <c:v>0.654288362184826</c:v>
                </c:pt>
                <c:pt idx="144">
                  <c:v>0.67802410805797475</c:v>
                </c:pt>
                <c:pt idx="145">
                  <c:v>0.63733881874044329</c:v>
                </c:pt>
                <c:pt idx="146">
                  <c:v>0.53637582872580924</c:v>
                </c:pt>
                <c:pt idx="147">
                  <c:v>0.56851210871818225</c:v>
                </c:pt>
                <c:pt idx="148">
                  <c:v>0.50610745706205118</c:v>
                </c:pt>
                <c:pt idx="149">
                  <c:v>0.36456318084100425</c:v>
                </c:pt>
                <c:pt idx="150">
                  <c:v>0.3225481335503772</c:v>
                </c:pt>
                <c:pt idx="151">
                  <c:v>0.32921882367033783</c:v>
                </c:pt>
                <c:pt idx="152">
                  <c:v>0.2709579345389474</c:v>
                </c:pt>
                <c:pt idx="153">
                  <c:v>0.27888673440794121</c:v>
                </c:pt>
                <c:pt idx="154">
                  <c:v>0.30508409070196441</c:v>
                </c:pt>
                <c:pt idx="155">
                  <c:v>0.3665701382374506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18-4947-B79A-90431763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885552"/>
        <c:axId val="463879792"/>
      </c:scatterChart>
      <c:valAx>
        <c:axId val="463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3879792"/>
        <c:crosses val="autoZero"/>
        <c:crossBetween val="midCat"/>
      </c:valAx>
      <c:valAx>
        <c:axId val="4638797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388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A250BB-FD62-417A-B8AA-6E06412827EE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430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11430000" cy="571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430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11430000" cy="571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0" cy="666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48B10E-B77D-ABC7-7ACC-583E093CB5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7"/>
  <sheetViews>
    <sheetView tabSelected="1" topLeftCell="G1" zoomScaleNormal="115" workbookViewId="0">
      <pane ySplit="1" topLeftCell="A143" activePane="bottomLeft" state="frozen"/>
      <selection pane="bottomLeft" activeCell="O156" sqref="O156"/>
    </sheetView>
  </sheetViews>
  <sheetFormatPr baseColWidth="10" defaultColWidth="9.140625" defaultRowHeight="15" x14ac:dyDescent="0.25"/>
  <cols>
    <col min="1" max="1" width="18.42578125" customWidth="1"/>
    <col min="2" max="16" width="29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2">
        <v>44760</v>
      </c>
      <c r="B2">
        <v>1</v>
      </c>
      <c r="C2">
        <v>13.070089285714291</v>
      </c>
      <c r="D2">
        <v>5.2</v>
      </c>
      <c r="E2">
        <v>21.1</v>
      </c>
      <c r="F2">
        <v>83.136904761904759</v>
      </c>
      <c r="G2">
        <v>2.4733630952380961</v>
      </c>
      <c r="H2">
        <v>6.3</v>
      </c>
      <c r="I2">
        <v>116.8779761904762</v>
      </c>
      <c r="J2">
        <v>18.2</v>
      </c>
      <c r="K2">
        <v>18.2</v>
      </c>
      <c r="L2">
        <v>19635.5</v>
      </c>
      <c r="M2">
        <v>19635.5</v>
      </c>
      <c r="N2">
        <v>515.77499999999998</v>
      </c>
      <c r="O2">
        <v>515.77499999999998</v>
      </c>
      <c r="P2">
        <v>0</v>
      </c>
      <c r="Q2">
        <v>7</v>
      </c>
    </row>
    <row r="3" spans="1:17" x14ac:dyDescent="0.25">
      <c r="A3" s="2">
        <v>44767</v>
      </c>
      <c r="B3">
        <v>1</v>
      </c>
      <c r="C3">
        <v>13.501192250372579</v>
      </c>
      <c r="D3">
        <v>7.7</v>
      </c>
      <c r="E3">
        <v>22.7</v>
      </c>
      <c r="F3">
        <v>84.339791356184804</v>
      </c>
      <c r="G3">
        <v>2.6608047690014911</v>
      </c>
      <c r="H3">
        <v>17.3</v>
      </c>
      <c r="I3">
        <v>130.57526080476899</v>
      </c>
      <c r="J3">
        <v>31.1</v>
      </c>
      <c r="K3">
        <v>49.3</v>
      </c>
      <c r="L3">
        <v>21904</v>
      </c>
      <c r="M3">
        <v>41539.5</v>
      </c>
      <c r="N3">
        <v>587.32500000000005</v>
      </c>
      <c r="O3">
        <v>1103.0999999999999</v>
      </c>
      <c r="P3">
        <v>0</v>
      </c>
      <c r="Q3">
        <v>7</v>
      </c>
    </row>
    <row r="4" spans="1:17" x14ac:dyDescent="0.25">
      <c r="A4" s="2">
        <v>44774</v>
      </c>
      <c r="B4">
        <v>1</v>
      </c>
      <c r="C4">
        <v>13.413364055299541</v>
      </c>
      <c r="D4">
        <v>7.6</v>
      </c>
      <c r="E4">
        <v>22.7</v>
      </c>
      <c r="F4">
        <v>82.477726574500764</v>
      </c>
      <c r="G4">
        <v>3.148847926267281</v>
      </c>
      <c r="H4">
        <v>15</v>
      </c>
      <c r="I4">
        <v>126.741935483871</v>
      </c>
      <c r="J4">
        <v>28.25</v>
      </c>
      <c r="K4">
        <v>77.55</v>
      </c>
      <c r="L4">
        <v>20627.25</v>
      </c>
      <c r="M4">
        <v>62166.75</v>
      </c>
      <c r="N4">
        <v>555.52499999999998</v>
      </c>
      <c r="O4">
        <v>1658.625</v>
      </c>
      <c r="P4">
        <v>0</v>
      </c>
      <c r="Q4">
        <v>7</v>
      </c>
    </row>
    <row r="5" spans="1:17" x14ac:dyDescent="0.25">
      <c r="A5" s="2">
        <v>44781</v>
      </c>
      <c r="B5">
        <v>1</v>
      </c>
      <c r="C5">
        <v>13.04888226527571</v>
      </c>
      <c r="D5">
        <v>5.4</v>
      </c>
      <c r="E5">
        <v>21.3</v>
      </c>
      <c r="F5">
        <v>82.807749627421757</v>
      </c>
      <c r="G5">
        <v>2.9220566318926982</v>
      </c>
      <c r="H5">
        <v>28.7</v>
      </c>
      <c r="I5">
        <v>138.1371087928465</v>
      </c>
      <c r="J5">
        <v>36.049999999999997</v>
      </c>
      <c r="K5">
        <v>113.6</v>
      </c>
      <c r="L5">
        <v>23172.5</v>
      </c>
      <c r="M5">
        <v>85339.25</v>
      </c>
      <c r="N5">
        <v>511.45</v>
      </c>
      <c r="O5">
        <v>2170.0749999999998</v>
      </c>
      <c r="P5">
        <v>0</v>
      </c>
      <c r="Q5">
        <v>7</v>
      </c>
    </row>
    <row r="6" spans="1:17" x14ac:dyDescent="0.25">
      <c r="A6" s="2">
        <v>44788</v>
      </c>
      <c r="B6">
        <v>1</v>
      </c>
      <c r="C6">
        <v>13.1898355754858</v>
      </c>
      <c r="D6">
        <v>4.4000000000000004</v>
      </c>
      <c r="E6">
        <v>23.6</v>
      </c>
      <c r="F6">
        <v>79.926756352765324</v>
      </c>
      <c r="G6">
        <v>3.2852017937219729</v>
      </c>
      <c r="H6">
        <v>6.9</v>
      </c>
      <c r="I6">
        <v>174.46487294469361</v>
      </c>
      <c r="J6">
        <v>13.4</v>
      </c>
      <c r="K6">
        <v>127</v>
      </c>
      <c r="L6">
        <v>29179.25</v>
      </c>
      <c r="M6">
        <v>114518.5</v>
      </c>
      <c r="N6">
        <v>533.5</v>
      </c>
      <c r="O6">
        <v>2703.5749999999998</v>
      </c>
      <c r="P6">
        <v>0</v>
      </c>
      <c r="Q6">
        <v>7</v>
      </c>
    </row>
    <row r="7" spans="1:17" x14ac:dyDescent="0.25">
      <c r="A7" s="2">
        <v>44795</v>
      </c>
      <c r="B7">
        <v>1</v>
      </c>
      <c r="C7">
        <v>12.73931240657698</v>
      </c>
      <c r="D7">
        <v>5.5</v>
      </c>
      <c r="E7">
        <v>20.9</v>
      </c>
      <c r="F7">
        <v>80.890881913303431</v>
      </c>
      <c r="G7">
        <v>2.406278026905829</v>
      </c>
      <c r="H7">
        <v>10.199999999999999</v>
      </c>
      <c r="I7">
        <v>142.30941704035871</v>
      </c>
      <c r="J7">
        <v>12.875</v>
      </c>
      <c r="K7">
        <v>139.875</v>
      </c>
      <c r="L7">
        <v>23801.25</v>
      </c>
      <c r="M7">
        <v>138319.75</v>
      </c>
      <c r="N7">
        <v>458.15</v>
      </c>
      <c r="O7">
        <v>3161.7249999999999</v>
      </c>
      <c r="P7">
        <v>0</v>
      </c>
      <c r="Q7">
        <v>7</v>
      </c>
    </row>
    <row r="8" spans="1:17" x14ac:dyDescent="0.25">
      <c r="A8" s="2">
        <v>44802</v>
      </c>
      <c r="B8">
        <v>1</v>
      </c>
      <c r="C8">
        <v>13.242255639097751</v>
      </c>
      <c r="D8">
        <v>7</v>
      </c>
      <c r="E8">
        <v>21.9</v>
      </c>
      <c r="F8">
        <v>84.201503759398491</v>
      </c>
      <c r="G8">
        <v>2.9124812030075189</v>
      </c>
      <c r="H8">
        <v>6.1</v>
      </c>
      <c r="I8">
        <v>128.70526315789471</v>
      </c>
      <c r="J8">
        <v>19</v>
      </c>
      <c r="K8">
        <v>158.875</v>
      </c>
      <c r="L8">
        <v>21397.25</v>
      </c>
      <c r="M8">
        <v>159717</v>
      </c>
      <c r="N8">
        <v>539.02499999999998</v>
      </c>
      <c r="O8">
        <v>3700.75</v>
      </c>
      <c r="P8">
        <v>0</v>
      </c>
      <c r="Q8">
        <v>7</v>
      </c>
    </row>
    <row r="9" spans="1:17" x14ac:dyDescent="0.25">
      <c r="A9" s="2">
        <v>44809</v>
      </c>
      <c r="B9">
        <v>1</v>
      </c>
      <c r="C9">
        <v>13.11803278688525</v>
      </c>
      <c r="D9">
        <v>5.4</v>
      </c>
      <c r="E9">
        <v>21.9</v>
      </c>
      <c r="F9">
        <v>79.943368107302533</v>
      </c>
      <c r="G9">
        <v>3.1570789865871829</v>
      </c>
      <c r="H9">
        <v>0</v>
      </c>
      <c r="I9">
        <v>139.41132637853951</v>
      </c>
      <c r="J9">
        <v>0</v>
      </c>
      <c r="K9">
        <v>158.875</v>
      </c>
      <c r="L9">
        <v>23386.25</v>
      </c>
      <c r="M9">
        <v>183103.25</v>
      </c>
      <c r="N9">
        <v>523.04999999999995</v>
      </c>
      <c r="O9">
        <v>4223.8</v>
      </c>
      <c r="P9">
        <v>0</v>
      </c>
      <c r="Q9">
        <v>7</v>
      </c>
    </row>
    <row r="10" spans="1:17" x14ac:dyDescent="0.25">
      <c r="A10" s="2">
        <v>44816</v>
      </c>
      <c r="B10">
        <v>1</v>
      </c>
      <c r="C10">
        <v>13.06845238095238</v>
      </c>
      <c r="D10">
        <v>3.9</v>
      </c>
      <c r="E10">
        <v>22.2</v>
      </c>
      <c r="F10">
        <v>82.65922619047619</v>
      </c>
      <c r="G10">
        <v>2.2625000000000002</v>
      </c>
      <c r="H10">
        <v>13.2</v>
      </c>
      <c r="I10">
        <v>143.8110119047619</v>
      </c>
      <c r="J10">
        <v>22.25</v>
      </c>
      <c r="K10">
        <v>174.75</v>
      </c>
      <c r="L10">
        <v>24160.25</v>
      </c>
      <c r="M10">
        <v>198683.75</v>
      </c>
      <c r="N10">
        <v>515.5</v>
      </c>
      <c r="O10">
        <v>4223.5249999999996</v>
      </c>
      <c r="P10">
        <v>1</v>
      </c>
      <c r="Q10">
        <v>7</v>
      </c>
    </row>
    <row r="11" spans="1:17" x14ac:dyDescent="0.25">
      <c r="A11" s="2">
        <v>44823</v>
      </c>
      <c r="B11">
        <v>1</v>
      </c>
      <c r="C11">
        <v>13.05761589403973</v>
      </c>
      <c r="D11">
        <v>4.9000000000000004</v>
      </c>
      <c r="E11">
        <v>22.3</v>
      </c>
      <c r="F11">
        <v>83.975165562913901</v>
      </c>
      <c r="G11">
        <v>2.6384105960264899</v>
      </c>
      <c r="H11">
        <v>25.7</v>
      </c>
      <c r="I11">
        <v>164.34602649006621</v>
      </c>
      <c r="J11">
        <v>46.35</v>
      </c>
      <c r="K11">
        <v>196.7</v>
      </c>
      <c r="L11">
        <v>24816.25</v>
      </c>
      <c r="M11">
        <v>203377.5</v>
      </c>
      <c r="N11">
        <v>461.7</v>
      </c>
      <c r="O11">
        <v>4097.8999999999996</v>
      </c>
      <c r="P11">
        <v>0</v>
      </c>
      <c r="Q11">
        <v>7</v>
      </c>
    </row>
    <row r="12" spans="1:17" x14ac:dyDescent="0.25">
      <c r="A12" s="2">
        <v>44830</v>
      </c>
      <c r="B12">
        <v>1</v>
      </c>
      <c r="C12">
        <v>13.36473214285714</v>
      </c>
      <c r="D12">
        <v>3.9</v>
      </c>
      <c r="E12">
        <v>22.3</v>
      </c>
      <c r="F12">
        <v>81.394345238095241</v>
      </c>
      <c r="G12">
        <v>2.9380952380952379</v>
      </c>
      <c r="H12">
        <v>29.5</v>
      </c>
      <c r="I12">
        <v>164.80803571428569</v>
      </c>
      <c r="J12">
        <v>29.45</v>
      </c>
      <c r="K12">
        <v>189.125</v>
      </c>
      <c r="L12">
        <v>27687.75</v>
      </c>
      <c r="M12">
        <v>208308</v>
      </c>
      <c r="N12">
        <v>565.27499999999998</v>
      </c>
      <c r="O12">
        <v>4107.6499999999996</v>
      </c>
      <c r="P12">
        <v>1</v>
      </c>
      <c r="Q12">
        <v>7</v>
      </c>
    </row>
    <row r="13" spans="1:17" x14ac:dyDescent="0.25">
      <c r="A13" s="2">
        <v>44837</v>
      </c>
      <c r="B13">
        <v>1</v>
      </c>
      <c r="C13">
        <v>13.54165316045381</v>
      </c>
      <c r="D13">
        <v>6.5</v>
      </c>
      <c r="E13">
        <v>22.4</v>
      </c>
      <c r="F13">
        <v>83.019448946515396</v>
      </c>
      <c r="G13">
        <v>2.3040518638573739</v>
      </c>
      <c r="H13">
        <v>19.8</v>
      </c>
      <c r="I13">
        <v>140.904376012966</v>
      </c>
      <c r="J13">
        <v>23.8</v>
      </c>
      <c r="K13">
        <v>201.75</v>
      </c>
      <c r="L13">
        <v>21734.5</v>
      </c>
      <c r="M13">
        <v>209152</v>
      </c>
      <c r="N13">
        <v>546.29999999999995</v>
      </c>
      <c r="O13">
        <v>4142.5</v>
      </c>
      <c r="P13">
        <v>0</v>
      </c>
      <c r="Q13">
        <v>7</v>
      </c>
    </row>
    <row r="14" spans="1:17" x14ac:dyDescent="0.25">
      <c r="A14" s="2">
        <v>44844</v>
      </c>
      <c r="B14">
        <v>1</v>
      </c>
      <c r="C14">
        <v>13.34583333333333</v>
      </c>
      <c r="D14">
        <v>6.3</v>
      </c>
      <c r="E14">
        <v>20.6</v>
      </c>
      <c r="F14">
        <v>78.322916666666671</v>
      </c>
      <c r="G14">
        <v>3.472916666666666</v>
      </c>
      <c r="H14">
        <v>0</v>
      </c>
      <c r="I14">
        <v>153.84375</v>
      </c>
      <c r="J14">
        <v>0</v>
      </c>
      <c r="K14">
        <v>201.75</v>
      </c>
      <c r="L14">
        <v>3692.25</v>
      </c>
      <c r="M14">
        <v>209322.75</v>
      </c>
      <c r="N14">
        <v>80.3</v>
      </c>
      <c r="O14">
        <v>3689.3</v>
      </c>
      <c r="P14">
        <v>0</v>
      </c>
      <c r="Q14">
        <v>1</v>
      </c>
    </row>
    <row r="15" spans="1:17" x14ac:dyDescent="0.25">
      <c r="A15" s="2">
        <v>44851</v>
      </c>
      <c r="B15">
        <v>1</v>
      </c>
      <c r="C15">
        <v>14.096284829721361</v>
      </c>
      <c r="D15">
        <v>9.1999999999999993</v>
      </c>
      <c r="E15">
        <v>22</v>
      </c>
      <c r="F15">
        <v>85.993808049535602</v>
      </c>
      <c r="G15">
        <v>2.8606811145510842</v>
      </c>
      <c r="H15">
        <v>30</v>
      </c>
      <c r="I15">
        <v>137.13931888544889</v>
      </c>
      <c r="J15">
        <v>15.225</v>
      </c>
      <c r="K15">
        <v>182.35</v>
      </c>
      <c r="L15">
        <v>11074</v>
      </c>
      <c r="M15">
        <v>207287.25</v>
      </c>
      <c r="N15">
        <v>330.77499999999998</v>
      </c>
      <c r="O15">
        <v>3561.9250000000002</v>
      </c>
      <c r="P15">
        <v>0</v>
      </c>
      <c r="Q15">
        <v>4</v>
      </c>
    </row>
    <row r="16" spans="1:17" x14ac:dyDescent="0.25">
      <c r="A16" s="2">
        <v>44858</v>
      </c>
      <c r="B16">
        <v>1</v>
      </c>
      <c r="C16">
        <v>14.31509433962264</v>
      </c>
      <c r="D16">
        <v>7.9</v>
      </c>
      <c r="E16">
        <v>22.7</v>
      </c>
      <c r="F16">
        <v>84.784067085953879</v>
      </c>
      <c r="G16">
        <v>3.2553459119496848</v>
      </c>
      <c r="H16">
        <v>13</v>
      </c>
      <c r="I16">
        <v>171.88050314465411</v>
      </c>
      <c r="J16">
        <v>25.7</v>
      </c>
      <c r="K16">
        <v>194.65</v>
      </c>
      <c r="L16">
        <v>20496.75</v>
      </c>
      <c r="M16">
        <v>199776.5</v>
      </c>
      <c r="N16">
        <v>514.57500000000005</v>
      </c>
      <c r="O16">
        <v>3537.4749999999999</v>
      </c>
      <c r="P16">
        <v>0</v>
      </c>
      <c r="Q16">
        <v>7</v>
      </c>
    </row>
    <row r="17" spans="1:17" x14ac:dyDescent="0.25">
      <c r="A17" s="2">
        <v>44865</v>
      </c>
      <c r="B17">
        <v>1</v>
      </c>
      <c r="C17">
        <v>13.34843517138599</v>
      </c>
      <c r="D17">
        <v>4.5</v>
      </c>
      <c r="E17">
        <v>22.8</v>
      </c>
      <c r="F17">
        <v>83.290611028315951</v>
      </c>
      <c r="G17">
        <v>2.627272727272727</v>
      </c>
      <c r="H17">
        <v>10.199999999999999</v>
      </c>
      <c r="I17">
        <v>147.0238450074516</v>
      </c>
      <c r="J17">
        <v>15.525</v>
      </c>
      <c r="K17">
        <v>194.07499999999999</v>
      </c>
      <c r="L17">
        <v>24663.25</v>
      </c>
      <c r="M17">
        <v>201090.25</v>
      </c>
      <c r="N17">
        <v>561.70000000000005</v>
      </c>
      <c r="O17">
        <v>3576.125</v>
      </c>
      <c r="P17">
        <v>0</v>
      </c>
      <c r="Q17">
        <v>7</v>
      </c>
    </row>
    <row r="18" spans="1:17" x14ac:dyDescent="0.25">
      <c r="A18" s="2">
        <v>44872</v>
      </c>
      <c r="B18">
        <v>1</v>
      </c>
      <c r="C18">
        <v>13.68690476190476</v>
      </c>
      <c r="D18">
        <v>8.1</v>
      </c>
      <c r="E18">
        <v>22.7</v>
      </c>
      <c r="F18">
        <v>85.25</v>
      </c>
      <c r="G18">
        <v>2.4544642857142862</v>
      </c>
      <c r="H18">
        <v>8.4</v>
      </c>
      <c r="I18">
        <v>150.82440476190479</v>
      </c>
      <c r="J18">
        <v>22.824999999999999</v>
      </c>
      <c r="K18">
        <v>201.125</v>
      </c>
      <c r="L18">
        <v>25338.5</v>
      </c>
      <c r="M18">
        <v>203279.75</v>
      </c>
      <c r="N18">
        <v>619.4</v>
      </c>
      <c r="O18">
        <v>3680.0250000000001</v>
      </c>
      <c r="P18">
        <v>0</v>
      </c>
      <c r="Q18">
        <v>7</v>
      </c>
    </row>
    <row r="19" spans="1:17" x14ac:dyDescent="0.25">
      <c r="A19" s="2">
        <v>44879</v>
      </c>
      <c r="B19">
        <v>1</v>
      </c>
      <c r="C19">
        <v>14.104179104477611</v>
      </c>
      <c r="D19">
        <v>6.9</v>
      </c>
      <c r="E19">
        <v>22.4</v>
      </c>
      <c r="F19">
        <v>84.207462686567169</v>
      </c>
      <c r="G19">
        <v>2.703134328358209</v>
      </c>
      <c r="H19">
        <v>7.4</v>
      </c>
      <c r="I19">
        <v>136.86417910447761</v>
      </c>
      <c r="J19">
        <v>30.2</v>
      </c>
      <c r="K19">
        <v>229.02500000000001</v>
      </c>
      <c r="L19">
        <v>22924.75</v>
      </c>
      <c r="M19">
        <v>203041.5</v>
      </c>
      <c r="N19">
        <v>687.45</v>
      </c>
      <c r="O19">
        <v>3905.7750000000001</v>
      </c>
      <c r="P19">
        <v>0</v>
      </c>
      <c r="Q19">
        <v>7</v>
      </c>
    </row>
    <row r="20" spans="1:17" x14ac:dyDescent="0.25">
      <c r="A20" s="2">
        <v>44886</v>
      </c>
      <c r="B20">
        <v>1</v>
      </c>
      <c r="C20">
        <v>13.62077727952167</v>
      </c>
      <c r="D20">
        <v>6.1</v>
      </c>
      <c r="E20">
        <v>21.8</v>
      </c>
      <c r="F20">
        <v>83.934230194319881</v>
      </c>
      <c r="G20">
        <v>2.79745889387145</v>
      </c>
      <c r="H20">
        <v>1.8</v>
      </c>
      <c r="I20">
        <v>162.77428998505229</v>
      </c>
      <c r="J20">
        <v>4.375</v>
      </c>
      <c r="K20">
        <v>202.97499999999999</v>
      </c>
      <c r="L20">
        <v>27224</v>
      </c>
      <c r="M20">
        <v>205939.5</v>
      </c>
      <c r="N20">
        <v>605.57500000000005</v>
      </c>
      <c r="O20">
        <v>3946.0749999999998</v>
      </c>
      <c r="P20">
        <v>0</v>
      </c>
      <c r="Q20">
        <v>7</v>
      </c>
    </row>
    <row r="21" spans="1:17" x14ac:dyDescent="0.25">
      <c r="A21" s="2">
        <v>44893</v>
      </c>
      <c r="B21">
        <v>1</v>
      </c>
      <c r="C21">
        <v>13.273660714285709</v>
      </c>
      <c r="D21">
        <v>5.7</v>
      </c>
      <c r="E21">
        <v>22.3</v>
      </c>
      <c r="F21">
        <v>83.473214285714292</v>
      </c>
      <c r="G21">
        <v>3.382142857142858</v>
      </c>
      <c r="H21">
        <v>7.6</v>
      </c>
      <c r="I21">
        <v>162.77529761904759</v>
      </c>
      <c r="J21">
        <v>16.55</v>
      </c>
      <c r="K21">
        <v>183.65</v>
      </c>
      <c r="L21">
        <v>27346.25</v>
      </c>
      <c r="M21">
        <v>208407.75</v>
      </c>
      <c r="N21">
        <v>549.97500000000002</v>
      </c>
      <c r="O21">
        <v>3949.75</v>
      </c>
      <c r="P21">
        <v>0</v>
      </c>
      <c r="Q21">
        <v>7</v>
      </c>
    </row>
    <row r="22" spans="1:17" x14ac:dyDescent="0.25">
      <c r="A22" s="2">
        <v>44900</v>
      </c>
      <c r="B22">
        <v>1</v>
      </c>
      <c r="C22">
        <v>13.117708333333329</v>
      </c>
      <c r="D22">
        <v>5.0999999999999996</v>
      </c>
      <c r="E22">
        <v>22.1</v>
      </c>
      <c r="F22">
        <v>84.754464285714292</v>
      </c>
      <c r="G22">
        <v>2.1983630952380948</v>
      </c>
      <c r="H22">
        <v>7.1</v>
      </c>
      <c r="I22">
        <v>129.16369047619051</v>
      </c>
      <c r="J22">
        <v>11.275</v>
      </c>
      <c r="K22">
        <v>164.95</v>
      </c>
      <c r="L22">
        <v>21699.5</v>
      </c>
      <c r="M22">
        <v>203641.75</v>
      </c>
      <c r="N22">
        <v>523.77499999999998</v>
      </c>
      <c r="O22">
        <v>4393.2250000000004</v>
      </c>
      <c r="P22">
        <v>0</v>
      </c>
      <c r="Q22">
        <v>7</v>
      </c>
    </row>
    <row r="23" spans="1:17" x14ac:dyDescent="0.25">
      <c r="A23" s="2">
        <v>44907</v>
      </c>
      <c r="B23">
        <v>1</v>
      </c>
      <c r="C23">
        <v>12.333681073025341</v>
      </c>
      <c r="D23">
        <v>2.8</v>
      </c>
      <c r="E23">
        <v>23.1</v>
      </c>
      <c r="F23">
        <v>80.938897168405362</v>
      </c>
      <c r="G23">
        <v>2.39016393442623</v>
      </c>
      <c r="H23">
        <v>9.9</v>
      </c>
      <c r="I23">
        <v>149.0655737704918</v>
      </c>
      <c r="J23">
        <v>10.7</v>
      </c>
      <c r="K23">
        <v>152.375</v>
      </c>
      <c r="L23">
        <v>25005.75</v>
      </c>
      <c r="M23">
        <v>205772.75</v>
      </c>
      <c r="N23">
        <v>391.47500000000002</v>
      </c>
      <c r="O23">
        <v>4453.9250000000002</v>
      </c>
      <c r="P23">
        <v>2</v>
      </c>
      <c r="Q23">
        <v>7</v>
      </c>
    </row>
    <row r="24" spans="1:17" x14ac:dyDescent="0.25">
      <c r="A24" s="2">
        <v>44914</v>
      </c>
      <c r="B24">
        <v>1</v>
      </c>
      <c r="C24">
        <v>13.19717261904762</v>
      </c>
      <c r="D24">
        <v>4.0999999999999996</v>
      </c>
      <c r="E24">
        <v>23.8</v>
      </c>
      <c r="F24">
        <v>79.328869047619051</v>
      </c>
      <c r="G24">
        <v>2.9194940476190481</v>
      </c>
      <c r="H24">
        <v>1</v>
      </c>
      <c r="I24">
        <v>202.8735119047619</v>
      </c>
      <c r="J24">
        <v>1.325</v>
      </c>
      <c r="K24">
        <v>128.77500000000001</v>
      </c>
      <c r="L24">
        <v>34082.75</v>
      </c>
      <c r="M24">
        <v>224963.5</v>
      </c>
      <c r="N24">
        <v>537.125</v>
      </c>
      <c r="O24">
        <v>4476.4750000000004</v>
      </c>
      <c r="P24">
        <v>0</v>
      </c>
      <c r="Q24">
        <v>7</v>
      </c>
    </row>
    <row r="25" spans="1:17" x14ac:dyDescent="0.25">
      <c r="A25" s="2">
        <v>44921</v>
      </c>
      <c r="B25">
        <v>1</v>
      </c>
      <c r="C25">
        <v>13.26771300448431</v>
      </c>
      <c r="D25">
        <v>1.7</v>
      </c>
      <c r="E25">
        <v>23.1</v>
      </c>
      <c r="F25">
        <v>79.382660687593429</v>
      </c>
      <c r="G25">
        <v>2.5234678624813149</v>
      </c>
      <c r="H25">
        <v>0.8</v>
      </c>
      <c r="I25">
        <v>177.05680119581459</v>
      </c>
      <c r="J25">
        <v>1.4</v>
      </c>
      <c r="K25">
        <v>108.825</v>
      </c>
      <c r="L25">
        <v>29612.75</v>
      </c>
      <c r="M25">
        <v>226043.75</v>
      </c>
      <c r="N25">
        <v>546.52499999999998</v>
      </c>
      <c r="O25">
        <v>4461.3</v>
      </c>
      <c r="P25">
        <v>1</v>
      </c>
      <c r="Q25">
        <v>7</v>
      </c>
    </row>
    <row r="26" spans="1:17" x14ac:dyDescent="0.25">
      <c r="A26" s="2">
        <v>44928</v>
      </c>
      <c r="B26">
        <v>1</v>
      </c>
      <c r="C26">
        <v>13.69235382308845</v>
      </c>
      <c r="D26">
        <v>7.7</v>
      </c>
      <c r="E26">
        <v>21.2</v>
      </c>
      <c r="F26">
        <v>83.404797601199405</v>
      </c>
      <c r="G26">
        <v>2.6253373313343329</v>
      </c>
      <c r="H26">
        <v>8.1</v>
      </c>
      <c r="I26">
        <v>133.71964017990999</v>
      </c>
      <c r="J26">
        <v>13.25</v>
      </c>
      <c r="K26">
        <v>95.3</v>
      </c>
      <c r="L26">
        <v>22297.75</v>
      </c>
      <c r="M26">
        <v>223767</v>
      </c>
      <c r="N26">
        <v>615.70000000000005</v>
      </c>
      <c r="O26">
        <v>4457.6000000000004</v>
      </c>
      <c r="P26">
        <v>0</v>
      </c>
      <c r="Q26">
        <v>7</v>
      </c>
    </row>
    <row r="27" spans="1:17" x14ac:dyDescent="0.25">
      <c r="A27" s="2">
        <v>44935</v>
      </c>
      <c r="B27">
        <v>1</v>
      </c>
      <c r="C27">
        <v>13.6625</v>
      </c>
      <c r="D27">
        <v>7.2</v>
      </c>
      <c r="E27">
        <v>22.8</v>
      </c>
      <c r="F27">
        <v>84.613095238095241</v>
      </c>
      <c r="G27">
        <v>2.4002976190476191</v>
      </c>
      <c r="H27">
        <v>16</v>
      </c>
      <c r="I27">
        <v>137.56994047619051</v>
      </c>
      <c r="J27">
        <v>53.55</v>
      </c>
      <c r="K27">
        <v>136.4</v>
      </c>
      <c r="L27">
        <v>23111.75</v>
      </c>
      <c r="M27">
        <v>222687.25</v>
      </c>
      <c r="N27">
        <v>615.29999999999995</v>
      </c>
      <c r="O27">
        <v>4385.45</v>
      </c>
      <c r="P27">
        <v>0</v>
      </c>
      <c r="Q27">
        <v>7</v>
      </c>
    </row>
    <row r="28" spans="1:17" x14ac:dyDescent="0.25">
      <c r="A28" s="2">
        <v>44942</v>
      </c>
      <c r="B28">
        <v>1</v>
      </c>
      <c r="C28">
        <v>12.68837209302326</v>
      </c>
      <c r="D28">
        <v>4.9000000000000004</v>
      </c>
      <c r="E28">
        <v>22.1</v>
      </c>
      <c r="F28">
        <v>84.412790697674424</v>
      </c>
      <c r="G28">
        <v>2.7325581395348841</v>
      </c>
      <c r="H28">
        <v>25.9</v>
      </c>
      <c r="I28">
        <v>148.50775193798449</v>
      </c>
      <c r="J28">
        <v>35.85</v>
      </c>
      <c r="K28">
        <v>147.4</v>
      </c>
      <c r="L28">
        <v>19157.5</v>
      </c>
      <c r="M28">
        <v>215723.25</v>
      </c>
      <c r="N28">
        <v>346.8</v>
      </c>
      <c r="O28">
        <v>4126.6750000000002</v>
      </c>
      <c r="P28">
        <v>0</v>
      </c>
      <c r="Q28">
        <v>7</v>
      </c>
    </row>
    <row r="29" spans="1:17" x14ac:dyDescent="0.25">
      <c r="A29" s="2">
        <v>44949</v>
      </c>
      <c r="B29">
        <v>1</v>
      </c>
      <c r="C29">
        <v>12.202527646129541</v>
      </c>
      <c r="D29">
        <v>1.1000000000000001</v>
      </c>
      <c r="E29">
        <v>24.3</v>
      </c>
      <c r="F29">
        <v>76.633491311216432</v>
      </c>
      <c r="G29">
        <v>2.81042654028436</v>
      </c>
      <c r="H29">
        <v>0</v>
      </c>
      <c r="I29">
        <v>194.88467614533971</v>
      </c>
      <c r="J29">
        <v>0</v>
      </c>
      <c r="K29">
        <v>127.65</v>
      </c>
      <c r="L29">
        <v>30840.5</v>
      </c>
      <c r="M29">
        <v>222985.5</v>
      </c>
      <c r="N29">
        <v>348.55</v>
      </c>
      <c r="O29">
        <v>3925.25</v>
      </c>
      <c r="P29">
        <v>4</v>
      </c>
      <c r="Q29">
        <v>7</v>
      </c>
    </row>
    <row r="30" spans="1:17" x14ac:dyDescent="0.25">
      <c r="A30" s="2">
        <v>44956</v>
      </c>
      <c r="B30">
        <v>1</v>
      </c>
      <c r="C30">
        <v>12.460416666666671</v>
      </c>
      <c r="D30">
        <v>1.8</v>
      </c>
      <c r="E30">
        <v>23.2</v>
      </c>
      <c r="F30">
        <v>77.363095238095241</v>
      </c>
      <c r="G30">
        <v>3.133482142857142</v>
      </c>
      <c r="H30">
        <v>0</v>
      </c>
      <c r="I30">
        <v>204.48214285714289</v>
      </c>
      <c r="J30">
        <v>0</v>
      </c>
      <c r="K30">
        <v>116.075</v>
      </c>
      <c r="L30">
        <v>34353</v>
      </c>
      <c r="M30">
        <v>232570.75</v>
      </c>
      <c r="N30">
        <v>413.35</v>
      </c>
      <c r="O30">
        <v>3814.8249999999998</v>
      </c>
      <c r="P30">
        <v>4</v>
      </c>
      <c r="Q30">
        <v>7</v>
      </c>
    </row>
    <row r="31" spans="1:17" x14ac:dyDescent="0.25">
      <c r="A31" s="2">
        <v>44963</v>
      </c>
      <c r="B31">
        <v>1</v>
      </c>
      <c r="C31">
        <v>13.68422619047619</v>
      </c>
      <c r="D31">
        <v>4.7</v>
      </c>
      <c r="E31">
        <v>23.9</v>
      </c>
      <c r="F31">
        <v>78.078869047619051</v>
      </c>
      <c r="G31">
        <v>3.2052083333333341</v>
      </c>
      <c r="H31">
        <v>5.3</v>
      </c>
      <c r="I31">
        <v>178.56845238095241</v>
      </c>
      <c r="J31">
        <v>5.3249999999999993</v>
      </c>
      <c r="K31">
        <v>120.55</v>
      </c>
      <c r="L31">
        <v>29999.5</v>
      </c>
      <c r="M31">
        <v>239441</v>
      </c>
      <c r="N31">
        <v>618.95000000000005</v>
      </c>
      <c r="O31">
        <v>4042.3</v>
      </c>
      <c r="P31">
        <v>0</v>
      </c>
      <c r="Q31">
        <v>7</v>
      </c>
    </row>
    <row r="32" spans="1:17" x14ac:dyDescent="0.25">
      <c r="A32" s="2">
        <v>44970</v>
      </c>
      <c r="B32">
        <v>1</v>
      </c>
      <c r="C32">
        <v>13.58041853512705</v>
      </c>
      <c r="D32">
        <v>5.3</v>
      </c>
      <c r="E32">
        <v>23.4</v>
      </c>
      <c r="F32">
        <v>83.037369207772798</v>
      </c>
      <c r="G32">
        <v>2.507025411061286</v>
      </c>
      <c r="H32">
        <v>15.2</v>
      </c>
      <c r="I32">
        <v>154.83856502242151</v>
      </c>
      <c r="J32">
        <v>24.85</v>
      </c>
      <c r="K32">
        <v>134.52500000000001</v>
      </c>
      <c r="L32">
        <v>25896.75</v>
      </c>
      <c r="M32">
        <v>234304.75</v>
      </c>
      <c r="N32">
        <v>598.82500000000005</v>
      </c>
      <c r="O32">
        <v>4104</v>
      </c>
      <c r="P32">
        <v>0</v>
      </c>
      <c r="Q32">
        <v>7</v>
      </c>
    </row>
    <row r="33" spans="1:17" x14ac:dyDescent="0.25">
      <c r="A33" s="2">
        <v>44977</v>
      </c>
      <c r="B33">
        <v>1</v>
      </c>
      <c r="C33">
        <v>13.441910631741139</v>
      </c>
      <c r="D33">
        <v>4.7</v>
      </c>
      <c r="E33">
        <v>24</v>
      </c>
      <c r="F33">
        <v>80.808936825885979</v>
      </c>
      <c r="G33">
        <v>2.9528505392912172</v>
      </c>
      <c r="H33">
        <v>13.7</v>
      </c>
      <c r="I33">
        <v>197.0015408320493</v>
      </c>
      <c r="J33">
        <v>18.55</v>
      </c>
      <c r="K33">
        <v>152.77500000000001</v>
      </c>
      <c r="L33">
        <v>31963.5</v>
      </c>
      <c r="M33">
        <v>232300.5</v>
      </c>
      <c r="N33">
        <v>558.45000000000005</v>
      </c>
      <c r="O33">
        <v>4115.9250000000002</v>
      </c>
      <c r="P33">
        <v>0</v>
      </c>
      <c r="Q33">
        <v>7</v>
      </c>
    </row>
    <row r="34" spans="1:17" x14ac:dyDescent="0.25">
      <c r="A34" s="2">
        <v>44984</v>
      </c>
      <c r="B34">
        <v>1</v>
      </c>
      <c r="C34">
        <v>14.67954545454546</v>
      </c>
      <c r="D34">
        <v>6.1</v>
      </c>
      <c r="E34">
        <v>23.6</v>
      </c>
      <c r="F34">
        <v>80.090909090909093</v>
      </c>
      <c r="G34">
        <v>3.338461538461539</v>
      </c>
      <c r="H34">
        <v>1.3</v>
      </c>
      <c r="I34">
        <v>141.92132867132869</v>
      </c>
      <c r="J34">
        <v>1.625</v>
      </c>
      <c r="K34">
        <v>150.69999999999999</v>
      </c>
      <c r="L34">
        <v>20294.75</v>
      </c>
      <c r="M34">
        <v>229743.75</v>
      </c>
      <c r="N34">
        <v>669.17499999999995</v>
      </c>
      <c r="O34">
        <v>4169.3999999999996</v>
      </c>
      <c r="P34">
        <v>0</v>
      </c>
      <c r="Q34">
        <v>6</v>
      </c>
    </row>
    <row r="35" spans="1:17" x14ac:dyDescent="0.25">
      <c r="A35" s="2">
        <v>44991</v>
      </c>
      <c r="B35">
        <v>1</v>
      </c>
      <c r="C35">
        <v>14.77090909090909</v>
      </c>
      <c r="D35">
        <v>10.7</v>
      </c>
      <c r="E35">
        <v>21.2</v>
      </c>
      <c r="F35">
        <v>84.554545454545448</v>
      </c>
      <c r="G35">
        <v>2.52</v>
      </c>
      <c r="H35">
        <v>4.3</v>
      </c>
      <c r="I35">
        <v>195.4909090909091</v>
      </c>
      <c r="J35">
        <v>3.1</v>
      </c>
      <c r="K35">
        <v>151.72499999999999</v>
      </c>
      <c r="L35">
        <v>5376</v>
      </c>
      <c r="M35">
        <v>225104.25</v>
      </c>
      <c r="N35">
        <v>131.19999999999999</v>
      </c>
      <c r="O35">
        <v>3685.3</v>
      </c>
      <c r="P35">
        <v>0</v>
      </c>
      <c r="Q35">
        <v>3</v>
      </c>
    </row>
    <row r="36" spans="1:17" x14ac:dyDescent="0.25">
      <c r="A36" s="2">
        <v>44998</v>
      </c>
      <c r="B36">
        <v>1</v>
      </c>
      <c r="C36">
        <v>14.590495867768601</v>
      </c>
      <c r="D36">
        <v>8.6</v>
      </c>
      <c r="E36">
        <v>21.4</v>
      </c>
      <c r="F36">
        <v>82.845041322314046</v>
      </c>
      <c r="G36">
        <v>3.47892561983471</v>
      </c>
      <c r="H36">
        <v>16</v>
      </c>
      <c r="I36">
        <v>208.4380165289256</v>
      </c>
      <c r="J36">
        <v>8.6999999999999993</v>
      </c>
      <c r="K36">
        <v>105.72499999999999</v>
      </c>
      <c r="L36">
        <v>25221</v>
      </c>
      <c r="M36">
        <v>232220.25</v>
      </c>
      <c r="N36">
        <v>555.45000000000005</v>
      </c>
      <c r="O36">
        <v>3893.95</v>
      </c>
      <c r="P36">
        <v>0</v>
      </c>
      <c r="Q36">
        <v>7</v>
      </c>
    </row>
    <row r="37" spans="1:17" x14ac:dyDescent="0.25">
      <c r="A37" s="2">
        <v>45005</v>
      </c>
      <c r="B37">
        <v>1</v>
      </c>
      <c r="C37">
        <v>14.980918727915199</v>
      </c>
      <c r="D37">
        <v>4.8</v>
      </c>
      <c r="E37">
        <v>22</v>
      </c>
      <c r="F37">
        <v>78.971731448763251</v>
      </c>
      <c r="G37">
        <v>3.935335689045937</v>
      </c>
      <c r="H37">
        <v>0</v>
      </c>
      <c r="I37">
        <v>295.62897526501769</v>
      </c>
      <c r="J37">
        <v>0</v>
      </c>
      <c r="K37">
        <v>70.650000000000006</v>
      </c>
      <c r="L37">
        <v>20915.75</v>
      </c>
      <c r="M37">
        <v>231990.5</v>
      </c>
      <c r="N37">
        <v>352.4</v>
      </c>
      <c r="O37">
        <v>3897.8</v>
      </c>
      <c r="P37">
        <v>0</v>
      </c>
      <c r="Q37">
        <v>5</v>
      </c>
    </row>
    <row r="38" spans="1:17" x14ac:dyDescent="0.25">
      <c r="A38" s="2">
        <v>45012</v>
      </c>
      <c r="B38">
        <v>1</v>
      </c>
      <c r="C38">
        <v>14.33447737909516</v>
      </c>
      <c r="D38">
        <v>7.2</v>
      </c>
      <c r="E38">
        <v>23.3</v>
      </c>
      <c r="F38">
        <v>81.736349453978164</v>
      </c>
      <c r="G38">
        <v>3.0508580343213731</v>
      </c>
      <c r="H38">
        <v>4.0999999999999996</v>
      </c>
      <c r="I38">
        <v>144.97815912636511</v>
      </c>
      <c r="J38">
        <v>5.05</v>
      </c>
      <c r="K38">
        <v>67.2</v>
      </c>
      <c r="L38">
        <v>23232.75</v>
      </c>
      <c r="M38">
        <v>239066</v>
      </c>
      <c r="N38">
        <v>694.6</v>
      </c>
      <c r="O38">
        <v>4179.05</v>
      </c>
      <c r="P38">
        <v>0</v>
      </c>
      <c r="Q38">
        <v>7</v>
      </c>
    </row>
    <row r="39" spans="1:17" x14ac:dyDescent="0.25">
      <c r="A39" s="2">
        <v>45019</v>
      </c>
      <c r="B39">
        <v>1</v>
      </c>
      <c r="C39">
        <v>14.162648809523811</v>
      </c>
      <c r="D39">
        <v>7.6</v>
      </c>
      <c r="E39">
        <v>22.2</v>
      </c>
      <c r="F39">
        <v>82.328869047619051</v>
      </c>
      <c r="G39">
        <v>2.8991071428571429</v>
      </c>
      <c r="H39">
        <v>11.9</v>
      </c>
      <c r="I39">
        <v>160.28125</v>
      </c>
      <c r="J39">
        <v>15.25</v>
      </c>
      <c r="K39">
        <v>82.45</v>
      </c>
      <c r="L39">
        <v>26927.25</v>
      </c>
      <c r="M39">
        <v>229017.75</v>
      </c>
      <c r="N39">
        <v>699.32500000000005</v>
      </c>
      <c r="O39">
        <v>4259.4250000000002</v>
      </c>
      <c r="P39">
        <v>0</v>
      </c>
      <c r="Q39">
        <v>7</v>
      </c>
    </row>
    <row r="40" spans="1:17" x14ac:dyDescent="0.25">
      <c r="A40" s="2">
        <v>45026</v>
      </c>
      <c r="B40">
        <v>1</v>
      </c>
      <c r="C40">
        <v>13.76276923076923</v>
      </c>
      <c r="D40">
        <v>7.7</v>
      </c>
      <c r="E40">
        <v>22.9</v>
      </c>
      <c r="F40">
        <v>81.88</v>
      </c>
      <c r="G40">
        <v>2.380615384615385</v>
      </c>
      <c r="H40">
        <v>0.8</v>
      </c>
      <c r="I40">
        <v>117.3107692307692</v>
      </c>
      <c r="J40">
        <v>0.82499999999999996</v>
      </c>
      <c r="K40">
        <v>83.274999999999991</v>
      </c>
      <c r="L40">
        <v>9531.5</v>
      </c>
      <c r="M40">
        <v>219358.75</v>
      </c>
      <c r="N40">
        <v>305.72500000000002</v>
      </c>
      <c r="O40">
        <v>3966.3249999999998</v>
      </c>
      <c r="P40">
        <v>0</v>
      </c>
      <c r="Q40">
        <v>4</v>
      </c>
    </row>
    <row r="41" spans="1:17" x14ac:dyDescent="0.25">
      <c r="A41" s="2">
        <v>45033</v>
      </c>
      <c r="B41">
        <v>1</v>
      </c>
      <c r="C41">
        <v>13.970597014925371</v>
      </c>
      <c r="D41">
        <v>5.7</v>
      </c>
      <c r="E41">
        <v>23.2</v>
      </c>
      <c r="F41">
        <v>85.556716417910451</v>
      </c>
      <c r="G41">
        <v>2.564925373134328</v>
      </c>
      <c r="H41">
        <v>28.2</v>
      </c>
      <c r="I41">
        <v>147.03134328358209</v>
      </c>
      <c r="J41">
        <v>41.95</v>
      </c>
      <c r="K41">
        <v>119.9</v>
      </c>
      <c r="L41">
        <v>24627.75</v>
      </c>
      <c r="M41">
        <v>213987</v>
      </c>
      <c r="N41">
        <v>665.07500000000005</v>
      </c>
      <c r="O41">
        <v>4072.95</v>
      </c>
      <c r="P41">
        <v>0</v>
      </c>
      <c r="Q41">
        <v>7</v>
      </c>
    </row>
    <row r="42" spans="1:17" x14ac:dyDescent="0.25">
      <c r="A42" s="2">
        <v>45040</v>
      </c>
      <c r="B42">
        <v>1</v>
      </c>
      <c r="C42">
        <v>14.06458333333333</v>
      </c>
      <c r="D42">
        <v>8.6</v>
      </c>
      <c r="E42">
        <v>22.1</v>
      </c>
      <c r="F42">
        <v>84.084821428571431</v>
      </c>
      <c r="G42">
        <v>2.3052083333333342</v>
      </c>
      <c r="H42">
        <v>7.1</v>
      </c>
      <c r="I42">
        <v>126.8407738095238</v>
      </c>
      <c r="J42">
        <v>16.850000000000001</v>
      </c>
      <c r="K42">
        <v>111.9</v>
      </c>
      <c r="L42">
        <v>21309.25</v>
      </c>
      <c r="M42">
        <v>209399.5</v>
      </c>
      <c r="N42">
        <v>682.85</v>
      </c>
      <c r="O42">
        <v>4086.625</v>
      </c>
      <c r="P42">
        <v>0</v>
      </c>
      <c r="Q42">
        <v>7</v>
      </c>
    </row>
    <row r="43" spans="1:17" x14ac:dyDescent="0.25">
      <c r="A43" s="2">
        <v>45047</v>
      </c>
      <c r="B43">
        <v>1</v>
      </c>
      <c r="C43">
        <v>13.904573170731711</v>
      </c>
      <c r="D43">
        <v>5.8</v>
      </c>
      <c r="E43">
        <v>24.9</v>
      </c>
      <c r="F43">
        <v>77.349085365853654</v>
      </c>
      <c r="G43">
        <v>3.407926829268292</v>
      </c>
      <c r="H43">
        <v>0.5</v>
      </c>
      <c r="I43">
        <v>180.84908536585371</v>
      </c>
      <c r="J43">
        <v>0.5</v>
      </c>
      <c r="K43">
        <v>93.850000000000009</v>
      </c>
      <c r="L43">
        <v>29659.25</v>
      </c>
      <c r="M43">
        <v>207095.25</v>
      </c>
      <c r="N43">
        <v>640.35</v>
      </c>
      <c r="O43">
        <v>4595.7750000000005</v>
      </c>
      <c r="P43">
        <v>0</v>
      </c>
      <c r="Q43">
        <v>7</v>
      </c>
    </row>
    <row r="44" spans="1:17" x14ac:dyDescent="0.25">
      <c r="A44" s="2">
        <v>45054</v>
      </c>
      <c r="B44">
        <v>1</v>
      </c>
      <c r="C44">
        <v>14.61371087928465</v>
      </c>
      <c r="D44">
        <v>5.6</v>
      </c>
      <c r="E44">
        <v>22.8</v>
      </c>
      <c r="F44">
        <v>79.943368107302533</v>
      </c>
      <c r="G44">
        <v>3.6761549925484349</v>
      </c>
      <c r="H44">
        <v>0</v>
      </c>
      <c r="I44">
        <v>137.6318926974665</v>
      </c>
      <c r="J44">
        <v>0</v>
      </c>
      <c r="K44">
        <v>92.225000000000009</v>
      </c>
      <c r="L44">
        <v>23087.75</v>
      </c>
      <c r="M44">
        <v>207668.5</v>
      </c>
      <c r="N44">
        <v>773.95</v>
      </c>
      <c r="O44">
        <v>4814.2750000000005</v>
      </c>
      <c r="P44">
        <v>0</v>
      </c>
      <c r="Q44">
        <v>7</v>
      </c>
    </row>
    <row r="45" spans="1:17" x14ac:dyDescent="0.25">
      <c r="A45" s="2">
        <v>45061</v>
      </c>
      <c r="B45">
        <v>1</v>
      </c>
      <c r="C45">
        <v>15.026119402985071</v>
      </c>
      <c r="D45">
        <v>7.7</v>
      </c>
      <c r="E45">
        <v>24.1</v>
      </c>
      <c r="F45">
        <v>81.253731343283576</v>
      </c>
      <c r="G45">
        <v>2.7079104477611939</v>
      </c>
      <c r="H45">
        <v>0.3</v>
      </c>
      <c r="I45">
        <v>138.76865671641789</v>
      </c>
      <c r="J45">
        <v>0.6</v>
      </c>
      <c r="K45">
        <v>81.025000000000006</v>
      </c>
      <c r="L45">
        <v>23243.75</v>
      </c>
      <c r="M45">
        <v>210819.5</v>
      </c>
      <c r="N45">
        <v>841.875</v>
      </c>
      <c r="O45">
        <v>5303.75</v>
      </c>
      <c r="P45">
        <v>0</v>
      </c>
      <c r="Q45">
        <v>7</v>
      </c>
    </row>
    <row r="46" spans="1:17" x14ac:dyDescent="0.25">
      <c r="A46" s="2">
        <v>45068</v>
      </c>
      <c r="B46">
        <v>1</v>
      </c>
      <c r="C46">
        <v>14.61208791208791</v>
      </c>
      <c r="D46">
        <v>9</v>
      </c>
      <c r="E46">
        <v>23.4</v>
      </c>
      <c r="F46">
        <v>85.073783359497639</v>
      </c>
      <c r="G46">
        <v>2.1588697017268448</v>
      </c>
      <c r="H46">
        <v>24.4</v>
      </c>
      <c r="I46">
        <v>115.35007849293559</v>
      </c>
      <c r="J46">
        <v>35.1</v>
      </c>
      <c r="K46">
        <v>116.125</v>
      </c>
      <c r="L46">
        <v>18369.5</v>
      </c>
      <c r="M46">
        <v>199988.75</v>
      </c>
      <c r="N46">
        <v>734.47500000000002</v>
      </c>
      <c r="O46">
        <v>5343.625</v>
      </c>
      <c r="P46">
        <v>0</v>
      </c>
      <c r="Q46">
        <v>7</v>
      </c>
    </row>
    <row r="47" spans="1:17" x14ac:dyDescent="0.25">
      <c r="A47" s="2">
        <v>45075</v>
      </c>
      <c r="B47">
        <v>1</v>
      </c>
      <c r="C47">
        <v>14.269642857142861</v>
      </c>
      <c r="D47">
        <v>6.4</v>
      </c>
      <c r="E47">
        <v>23.4</v>
      </c>
      <c r="F47">
        <v>81.33779761904762</v>
      </c>
      <c r="G47">
        <v>3.0022321428571428</v>
      </c>
      <c r="H47">
        <v>9.4</v>
      </c>
      <c r="I47">
        <v>136.2782738095238</v>
      </c>
      <c r="J47">
        <v>11.175000000000001</v>
      </c>
      <c r="K47">
        <v>122.25</v>
      </c>
      <c r="L47">
        <v>22894.75</v>
      </c>
      <c r="M47">
        <v>199650.75</v>
      </c>
      <c r="N47">
        <v>717.3</v>
      </c>
      <c r="O47">
        <v>5361.5999999999995</v>
      </c>
      <c r="P47">
        <v>0</v>
      </c>
      <c r="Q47">
        <v>7</v>
      </c>
    </row>
    <row r="48" spans="1:17" x14ac:dyDescent="0.25">
      <c r="A48" s="2">
        <v>45082</v>
      </c>
      <c r="B48">
        <v>1</v>
      </c>
      <c r="C48">
        <v>14.044345238095239</v>
      </c>
      <c r="D48">
        <v>4.7</v>
      </c>
      <c r="E48">
        <v>22.3</v>
      </c>
      <c r="F48">
        <v>80.885416666666671</v>
      </c>
      <c r="G48">
        <v>3.4421130952380952</v>
      </c>
      <c r="H48">
        <v>19.3</v>
      </c>
      <c r="I48">
        <v>149.52380952380949</v>
      </c>
      <c r="J48">
        <v>21.6</v>
      </c>
      <c r="K48">
        <v>128.6</v>
      </c>
      <c r="L48">
        <v>25120</v>
      </c>
      <c r="M48">
        <v>197843.5</v>
      </c>
      <c r="N48">
        <v>679.45</v>
      </c>
      <c r="O48">
        <v>5735.3250000000007</v>
      </c>
      <c r="P48">
        <v>0</v>
      </c>
      <c r="Q48">
        <v>7</v>
      </c>
    </row>
    <row r="49" spans="1:17" x14ac:dyDescent="0.25">
      <c r="A49" s="2">
        <v>45089</v>
      </c>
      <c r="B49">
        <v>1</v>
      </c>
      <c r="C49">
        <v>13.685074626865671</v>
      </c>
      <c r="D49">
        <v>7.2</v>
      </c>
      <c r="E49">
        <v>22.3</v>
      </c>
      <c r="F49">
        <v>80.197014925373139</v>
      </c>
      <c r="G49">
        <v>3.881641791044776</v>
      </c>
      <c r="H49">
        <v>1.8</v>
      </c>
      <c r="I49">
        <v>126.1507462686567</v>
      </c>
      <c r="J49">
        <v>2.6</v>
      </c>
      <c r="K49">
        <v>123.85</v>
      </c>
      <c r="L49">
        <v>21130.25</v>
      </c>
      <c r="M49">
        <v>196727.75</v>
      </c>
      <c r="N49">
        <v>617.25</v>
      </c>
      <c r="O49">
        <v>5687.5</v>
      </c>
      <c r="P49">
        <v>0</v>
      </c>
      <c r="Q49">
        <v>7</v>
      </c>
    </row>
    <row r="50" spans="1:17" x14ac:dyDescent="0.25">
      <c r="A50" s="2">
        <v>45096</v>
      </c>
      <c r="B50">
        <v>1</v>
      </c>
      <c r="C50">
        <v>14.82157738095238</v>
      </c>
      <c r="D50">
        <v>8.9</v>
      </c>
      <c r="E50">
        <v>23.7</v>
      </c>
      <c r="F50">
        <v>80.08779761904762</v>
      </c>
      <c r="G50">
        <v>3.132886904761905</v>
      </c>
      <c r="H50">
        <v>20.100000000000001</v>
      </c>
      <c r="I50">
        <v>142.78125</v>
      </c>
      <c r="J50">
        <v>22.05</v>
      </c>
      <c r="K50">
        <v>102.02500000000001</v>
      </c>
      <c r="L50">
        <v>23987.25</v>
      </c>
      <c r="M50">
        <v>200216</v>
      </c>
      <c r="N50">
        <v>810.02499999999998</v>
      </c>
      <c r="O50">
        <v>5814.6750000000002</v>
      </c>
      <c r="P50">
        <v>0</v>
      </c>
      <c r="Q50">
        <v>7</v>
      </c>
    </row>
    <row r="51" spans="1:17" x14ac:dyDescent="0.25">
      <c r="A51" s="2">
        <v>45103</v>
      </c>
      <c r="B51">
        <v>1</v>
      </c>
      <c r="C51">
        <v>14.567511177347241</v>
      </c>
      <c r="D51">
        <v>8.1999999999999993</v>
      </c>
      <c r="E51">
        <v>23.7</v>
      </c>
      <c r="F51">
        <v>79.873323397913566</v>
      </c>
      <c r="G51">
        <v>3.3757078986587179</v>
      </c>
      <c r="H51">
        <v>7.4</v>
      </c>
      <c r="I51">
        <v>145.618479880775</v>
      </c>
      <c r="J51">
        <v>7.9249999999999998</v>
      </c>
      <c r="K51">
        <v>101.05</v>
      </c>
      <c r="L51">
        <v>24427.5</v>
      </c>
      <c r="M51">
        <v>199370.25</v>
      </c>
      <c r="N51">
        <v>766.2</v>
      </c>
      <c r="O51">
        <v>5940.5249999999996</v>
      </c>
      <c r="P51">
        <v>0</v>
      </c>
      <c r="Q51">
        <v>7</v>
      </c>
    </row>
    <row r="52" spans="1:17" x14ac:dyDescent="0.25">
      <c r="A52" s="2">
        <v>45110</v>
      </c>
      <c r="B52">
        <v>1</v>
      </c>
      <c r="C52">
        <v>13.647988077496271</v>
      </c>
      <c r="D52">
        <v>6.6</v>
      </c>
      <c r="E52">
        <v>23.9</v>
      </c>
      <c r="F52">
        <v>85.165424739195231</v>
      </c>
      <c r="G52">
        <v>2.434575260804769</v>
      </c>
      <c r="H52">
        <v>16.8</v>
      </c>
      <c r="I52">
        <v>117.7436661698957</v>
      </c>
      <c r="J52">
        <v>30.95</v>
      </c>
      <c r="K52">
        <v>132</v>
      </c>
      <c r="L52">
        <v>19751.5</v>
      </c>
      <c r="M52">
        <v>193086</v>
      </c>
      <c r="N52">
        <v>611.95000000000005</v>
      </c>
      <c r="O52">
        <v>5778.5249999999996</v>
      </c>
      <c r="P52">
        <v>0</v>
      </c>
      <c r="Q52">
        <v>7</v>
      </c>
    </row>
    <row r="53" spans="1:17" x14ac:dyDescent="0.25">
      <c r="A53" s="2">
        <v>45117</v>
      </c>
      <c r="B53">
        <v>1</v>
      </c>
      <c r="C53">
        <v>13.91369047619048</v>
      </c>
      <c r="D53">
        <v>7.3</v>
      </c>
      <c r="E53">
        <v>23</v>
      </c>
      <c r="F53">
        <v>80.678571428571431</v>
      </c>
      <c r="G53">
        <v>3.0968749999999998</v>
      </c>
      <c r="H53">
        <v>8.1</v>
      </c>
      <c r="I53">
        <v>132.51488095238099</v>
      </c>
      <c r="J53">
        <v>10.324999999999999</v>
      </c>
      <c r="K53">
        <v>141.72499999999999</v>
      </c>
      <c r="L53">
        <v>22262.5</v>
      </c>
      <c r="M53">
        <v>191337.25</v>
      </c>
      <c r="N53">
        <v>657.5</v>
      </c>
      <c r="O53">
        <v>5594.15</v>
      </c>
      <c r="P53">
        <v>0</v>
      </c>
      <c r="Q53">
        <v>7</v>
      </c>
    </row>
    <row r="54" spans="1:17" x14ac:dyDescent="0.25">
      <c r="A54" s="2">
        <v>45124</v>
      </c>
      <c r="C54">
        <v>13.97746268656716</v>
      </c>
      <c r="D54">
        <v>8.1999999999999993</v>
      </c>
      <c r="E54">
        <v>20.6</v>
      </c>
      <c r="F54">
        <v>79.680597014925368</v>
      </c>
      <c r="G54">
        <v>3.692089552238806</v>
      </c>
      <c r="H54">
        <v>0.5</v>
      </c>
      <c r="I54">
        <v>118.8253731343284</v>
      </c>
      <c r="J54">
        <v>0.89999999999999991</v>
      </c>
      <c r="K54">
        <v>133.75</v>
      </c>
      <c r="L54">
        <v>19903.25</v>
      </c>
      <c r="M54">
        <v>190323.75</v>
      </c>
      <c r="N54">
        <v>666.22500000000002</v>
      </c>
      <c r="O54">
        <v>5525.9</v>
      </c>
      <c r="P54">
        <v>0</v>
      </c>
      <c r="Q54">
        <v>7</v>
      </c>
    </row>
    <row r="55" spans="1:17" x14ac:dyDescent="0.25">
      <c r="A55" s="2">
        <v>45131</v>
      </c>
      <c r="B55">
        <v>2</v>
      </c>
      <c r="C55">
        <v>14.62351190476191</v>
      </c>
      <c r="D55">
        <v>8.3000000000000007</v>
      </c>
      <c r="E55">
        <v>22.5</v>
      </c>
      <c r="F55">
        <v>80.907738095238102</v>
      </c>
      <c r="G55">
        <v>2.735119047619047</v>
      </c>
      <c r="H55">
        <v>24.4</v>
      </c>
      <c r="I55">
        <v>132.85267857142861</v>
      </c>
      <c r="J55">
        <v>31.774999999999999</v>
      </c>
      <c r="K55">
        <v>129.27500000000001</v>
      </c>
      <c r="L55">
        <v>22319.25</v>
      </c>
      <c r="M55">
        <v>192076.75</v>
      </c>
      <c r="N55">
        <v>776.75</v>
      </c>
      <c r="O55">
        <v>5585.35</v>
      </c>
      <c r="P55">
        <v>0</v>
      </c>
      <c r="Q55">
        <v>7</v>
      </c>
    </row>
    <row r="56" spans="1:17" x14ac:dyDescent="0.25">
      <c r="A56" s="2">
        <v>45138</v>
      </c>
      <c r="B56">
        <v>2</v>
      </c>
      <c r="C56">
        <v>13.773214285714291</v>
      </c>
      <c r="D56">
        <v>8</v>
      </c>
      <c r="E56">
        <v>21.8</v>
      </c>
      <c r="F56">
        <v>81.28422619047619</v>
      </c>
      <c r="G56">
        <v>2.880208333333333</v>
      </c>
      <c r="H56">
        <v>2.8</v>
      </c>
      <c r="I56">
        <v>136.67708333333329</v>
      </c>
      <c r="J56">
        <v>9.15</v>
      </c>
      <c r="K56">
        <v>118.075</v>
      </c>
      <c r="L56">
        <v>22961.75</v>
      </c>
      <c r="M56">
        <v>190882.75</v>
      </c>
      <c r="N56">
        <v>633.9</v>
      </c>
      <c r="O56">
        <v>5539.7999999999993</v>
      </c>
      <c r="P56">
        <v>0</v>
      </c>
      <c r="Q56">
        <v>7</v>
      </c>
    </row>
    <row r="57" spans="1:17" x14ac:dyDescent="0.25">
      <c r="A57" s="2">
        <v>45145</v>
      </c>
      <c r="B57">
        <v>2</v>
      </c>
      <c r="C57">
        <v>13.634375</v>
      </c>
      <c r="D57">
        <v>5.0999999999999996</v>
      </c>
      <c r="E57">
        <v>21.1</v>
      </c>
      <c r="F57">
        <v>80.779761904761898</v>
      </c>
      <c r="G57">
        <v>2.5898809523809532</v>
      </c>
      <c r="H57">
        <v>5.3</v>
      </c>
      <c r="I57">
        <v>141.63690476190479</v>
      </c>
      <c r="J57">
        <v>6.0750000000000002</v>
      </c>
      <c r="K57">
        <v>119.95</v>
      </c>
      <c r="L57">
        <v>23795</v>
      </c>
      <c r="M57">
        <v>191397.5</v>
      </c>
      <c r="N57">
        <v>610.57500000000005</v>
      </c>
      <c r="O57">
        <v>5533.125</v>
      </c>
      <c r="P57">
        <v>0</v>
      </c>
      <c r="Q57">
        <v>7</v>
      </c>
    </row>
    <row r="58" spans="1:17" x14ac:dyDescent="0.25">
      <c r="A58" s="2">
        <v>45152</v>
      </c>
      <c r="B58">
        <v>2</v>
      </c>
      <c r="C58">
        <v>14.79919224555735</v>
      </c>
      <c r="D58">
        <v>7.2</v>
      </c>
      <c r="E58">
        <v>23.6</v>
      </c>
      <c r="F58">
        <v>82.058158319870756</v>
      </c>
      <c r="G58">
        <v>2.5705977382875611</v>
      </c>
      <c r="H58">
        <v>22.1</v>
      </c>
      <c r="I58">
        <v>154.0226171243942</v>
      </c>
      <c r="J58">
        <v>31.625</v>
      </c>
      <c r="K58">
        <v>150.77500000000001</v>
      </c>
      <c r="L58">
        <v>23835</v>
      </c>
      <c r="M58">
        <v>192559.5</v>
      </c>
      <c r="N58">
        <v>742.67499999999995</v>
      </c>
      <c r="O58">
        <v>5465.7749999999996</v>
      </c>
      <c r="P58">
        <v>0</v>
      </c>
      <c r="Q58">
        <v>7</v>
      </c>
    </row>
    <row r="59" spans="1:17" x14ac:dyDescent="0.25">
      <c r="A59" s="2">
        <v>45159</v>
      </c>
      <c r="B59">
        <v>2</v>
      </c>
      <c r="C59">
        <v>14.23843843843844</v>
      </c>
      <c r="D59">
        <v>3.6</v>
      </c>
      <c r="E59">
        <v>23.9</v>
      </c>
      <c r="F59">
        <v>77.088588588588593</v>
      </c>
      <c r="G59">
        <v>2.9357357357357361</v>
      </c>
      <c r="H59">
        <v>22.9</v>
      </c>
      <c r="I59">
        <v>184.07357357357361</v>
      </c>
      <c r="J59">
        <v>23.55</v>
      </c>
      <c r="K59">
        <v>151.67500000000001</v>
      </c>
      <c r="L59">
        <v>30648.25</v>
      </c>
      <c r="M59">
        <v>199419.5</v>
      </c>
      <c r="N59">
        <v>705.7</v>
      </c>
      <c r="O59">
        <v>5405.2750000000005</v>
      </c>
      <c r="P59">
        <v>1</v>
      </c>
      <c r="Q59">
        <v>7</v>
      </c>
    </row>
    <row r="60" spans="1:17" x14ac:dyDescent="0.25">
      <c r="A60" s="2">
        <v>45166</v>
      </c>
      <c r="B60">
        <v>2</v>
      </c>
      <c r="C60">
        <v>14.20044709388972</v>
      </c>
      <c r="D60">
        <v>6.4</v>
      </c>
      <c r="E60">
        <v>23.7</v>
      </c>
      <c r="F60">
        <v>76.159463487332346</v>
      </c>
      <c r="G60">
        <v>3.1616989567809242</v>
      </c>
      <c r="H60">
        <v>0.3</v>
      </c>
      <c r="I60">
        <v>182.01937406855441</v>
      </c>
      <c r="J60">
        <v>0.3</v>
      </c>
      <c r="K60">
        <v>134.55000000000001</v>
      </c>
      <c r="L60">
        <v>30533.75</v>
      </c>
      <c r="M60">
        <v>207409.75</v>
      </c>
      <c r="N60">
        <v>704.625</v>
      </c>
      <c r="O60">
        <v>5497.9500000000007</v>
      </c>
      <c r="P60">
        <v>0</v>
      </c>
      <c r="Q60">
        <v>7</v>
      </c>
    </row>
    <row r="61" spans="1:17" x14ac:dyDescent="0.25">
      <c r="A61" s="2">
        <v>45173</v>
      </c>
      <c r="B61">
        <v>2</v>
      </c>
      <c r="C61">
        <v>13.66452095808383</v>
      </c>
      <c r="D61">
        <v>5.3</v>
      </c>
      <c r="E61">
        <v>22.5</v>
      </c>
      <c r="F61">
        <v>78.970059880239518</v>
      </c>
      <c r="G61">
        <v>3.327095808383234</v>
      </c>
      <c r="H61">
        <v>5.6</v>
      </c>
      <c r="I61">
        <v>142.1182634730539</v>
      </c>
      <c r="J61">
        <v>5.45</v>
      </c>
      <c r="K61">
        <v>118.25</v>
      </c>
      <c r="L61">
        <v>23733.75</v>
      </c>
      <c r="M61">
        <v>211909.75</v>
      </c>
      <c r="N61">
        <v>611.97500000000002</v>
      </c>
      <c r="O61">
        <v>5452.4250000000002</v>
      </c>
      <c r="P61">
        <v>0</v>
      </c>
      <c r="Q61">
        <v>7</v>
      </c>
    </row>
    <row r="62" spans="1:17" x14ac:dyDescent="0.25">
      <c r="A62" s="2">
        <v>45180</v>
      </c>
      <c r="B62">
        <v>2</v>
      </c>
      <c r="C62">
        <v>13.593134328358209</v>
      </c>
      <c r="D62">
        <v>3.6</v>
      </c>
      <c r="E62">
        <v>23.1</v>
      </c>
      <c r="F62">
        <v>78.626865671641795</v>
      </c>
      <c r="G62">
        <v>2.9028358208955232</v>
      </c>
      <c r="H62">
        <v>0.5</v>
      </c>
      <c r="I62">
        <v>163.7164179104478</v>
      </c>
      <c r="J62">
        <v>0.95</v>
      </c>
      <c r="K62">
        <v>108.875</v>
      </c>
      <c r="L62">
        <v>27422.5</v>
      </c>
      <c r="M62">
        <v>217441.25</v>
      </c>
      <c r="N62">
        <v>601.85</v>
      </c>
      <c r="O62">
        <v>5388.05</v>
      </c>
      <c r="P62">
        <v>2</v>
      </c>
      <c r="Q62">
        <v>7</v>
      </c>
    </row>
    <row r="63" spans="1:17" x14ac:dyDescent="0.25">
      <c r="A63" s="2">
        <v>45187</v>
      </c>
      <c r="B63">
        <v>2</v>
      </c>
      <c r="C63">
        <v>13.50300751879699</v>
      </c>
      <c r="D63">
        <v>2.9</v>
      </c>
      <c r="E63">
        <v>24.3</v>
      </c>
      <c r="F63">
        <v>79.488721804511272</v>
      </c>
      <c r="G63">
        <v>2.9619548872180448</v>
      </c>
      <c r="H63">
        <v>17</v>
      </c>
      <c r="I63">
        <v>164.91578947368421</v>
      </c>
      <c r="J63">
        <v>21.725000000000001</v>
      </c>
      <c r="K63">
        <v>106.075</v>
      </c>
      <c r="L63">
        <v>27417.25</v>
      </c>
      <c r="M63">
        <v>222838</v>
      </c>
      <c r="N63">
        <v>582.375</v>
      </c>
      <c r="O63">
        <v>5193.6750000000002</v>
      </c>
      <c r="P63">
        <v>1</v>
      </c>
      <c r="Q63">
        <v>7</v>
      </c>
    </row>
    <row r="64" spans="1:17" x14ac:dyDescent="0.25">
      <c r="A64" s="2">
        <v>45194</v>
      </c>
      <c r="B64">
        <v>2</v>
      </c>
      <c r="C64">
        <v>14.28405365126677</v>
      </c>
      <c r="D64">
        <v>5.2</v>
      </c>
      <c r="E64">
        <v>24.9</v>
      </c>
      <c r="F64">
        <v>81.113263785394935</v>
      </c>
      <c r="G64">
        <v>2.5405365126676598</v>
      </c>
      <c r="H64">
        <v>4.8</v>
      </c>
      <c r="I64">
        <v>177.34426229508199</v>
      </c>
      <c r="J64">
        <v>8.4749999999999996</v>
      </c>
      <c r="K64">
        <v>103.3</v>
      </c>
      <c r="L64">
        <v>29749.5</v>
      </c>
      <c r="M64">
        <v>231075.25</v>
      </c>
      <c r="N64">
        <v>718.65</v>
      </c>
      <c r="O64">
        <v>5278.4250000000002</v>
      </c>
      <c r="P64">
        <v>0</v>
      </c>
      <c r="Q64">
        <v>7</v>
      </c>
    </row>
    <row r="65" spans="1:17" x14ac:dyDescent="0.25">
      <c r="A65" s="2">
        <v>45201</v>
      </c>
      <c r="B65">
        <v>2</v>
      </c>
      <c r="C65">
        <v>14.439732142857141</v>
      </c>
      <c r="D65">
        <v>5.2</v>
      </c>
      <c r="E65">
        <v>24.6</v>
      </c>
      <c r="F65">
        <v>84.052083333333329</v>
      </c>
      <c r="G65">
        <v>2.465178571428571</v>
      </c>
      <c r="H65">
        <v>9.6999999999999993</v>
      </c>
      <c r="I65">
        <v>156.25892857142861</v>
      </c>
      <c r="J65">
        <v>28.975000000000001</v>
      </c>
      <c r="K65">
        <v>126.825</v>
      </c>
      <c r="L65">
        <v>26251.5</v>
      </c>
      <c r="M65">
        <v>232812</v>
      </c>
      <c r="N65">
        <v>745.875</v>
      </c>
      <c r="O65">
        <v>5413.7249999999995</v>
      </c>
      <c r="P65">
        <v>0</v>
      </c>
      <c r="Q65">
        <v>7</v>
      </c>
    </row>
    <row r="66" spans="1:17" x14ac:dyDescent="0.25">
      <c r="A66" s="2">
        <v>45208</v>
      </c>
      <c r="B66">
        <v>2</v>
      </c>
      <c r="C66">
        <v>14.78511904761905</v>
      </c>
      <c r="D66">
        <v>7</v>
      </c>
      <c r="E66">
        <v>24.3</v>
      </c>
      <c r="F66">
        <v>79.452380952380949</v>
      </c>
      <c r="G66">
        <v>2.410714285714286</v>
      </c>
      <c r="H66">
        <v>13.2</v>
      </c>
      <c r="I66">
        <v>166.0907738095238</v>
      </c>
      <c r="J66">
        <v>18.375</v>
      </c>
      <c r="K66">
        <v>132.80000000000001</v>
      </c>
      <c r="L66">
        <v>27903.25</v>
      </c>
      <c r="M66">
        <v>237389</v>
      </c>
      <c r="N66">
        <v>803.9</v>
      </c>
      <c r="O66">
        <v>5474.9500000000007</v>
      </c>
      <c r="P66">
        <v>0</v>
      </c>
      <c r="Q66">
        <v>7</v>
      </c>
    </row>
    <row r="67" spans="1:17" x14ac:dyDescent="0.25">
      <c r="A67" s="2">
        <v>45215</v>
      </c>
      <c r="B67">
        <v>2</v>
      </c>
      <c r="C67">
        <v>13.917910447761191</v>
      </c>
      <c r="D67">
        <v>7</v>
      </c>
      <c r="E67">
        <v>22.8</v>
      </c>
      <c r="F67">
        <v>82.089552238805965</v>
      </c>
      <c r="G67">
        <v>2.1986567164179101</v>
      </c>
      <c r="H67">
        <v>15.7</v>
      </c>
      <c r="I67">
        <v>138.544776119403</v>
      </c>
      <c r="J67">
        <v>15.7</v>
      </c>
      <c r="K67">
        <v>100.25</v>
      </c>
      <c r="L67">
        <v>23206.25</v>
      </c>
      <c r="M67">
        <v>234887.25</v>
      </c>
      <c r="N67">
        <v>656.25</v>
      </c>
      <c r="O67">
        <v>5425.5</v>
      </c>
      <c r="P67">
        <v>0</v>
      </c>
      <c r="Q67">
        <v>7</v>
      </c>
    </row>
    <row r="68" spans="1:17" x14ac:dyDescent="0.25">
      <c r="A68" s="2">
        <v>45222</v>
      </c>
      <c r="B68">
        <v>2</v>
      </c>
      <c r="C68">
        <v>14.412089552238809</v>
      </c>
      <c r="D68">
        <v>7.6</v>
      </c>
      <c r="E68">
        <v>25.9</v>
      </c>
      <c r="F68">
        <v>85.062686567164178</v>
      </c>
      <c r="G68">
        <v>2.1805970149253731</v>
      </c>
      <c r="H68">
        <v>17.8</v>
      </c>
      <c r="I68">
        <v>161.03582089552239</v>
      </c>
      <c r="J68">
        <v>57.1</v>
      </c>
      <c r="K68">
        <v>157.05000000000001</v>
      </c>
      <c r="L68">
        <v>26973.5</v>
      </c>
      <c r="M68">
        <v>229690.75</v>
      </c>
      <c r="N68">
        <v>739.02499999999998</v>
      </c>
      <c r="O68">
        <v>5459.9</v>
      </c>
      <c r="P68">
        <v>0</v>
      </c>
      <c r="Q68">
        <v>7</v>
      </c>
    </row>
    <row r="69" spans="1:17" x14ac:dyDescent="0.25">
      <c r="A69" s="2">
        <v>45229</v>
      </c>
      <c r="B69">
        <v>2</v>
      </c>
      <c r="C69">
        <v>14.46383928571429</v>
      </c>
      <c r="D69">
        <v>7.9</v>
      </c>
      <c r="E69">
        <v>23.8</v>
      </c>
      <c r="F69">
        <v>86.36904761904762</v>
      </c>
      <c r="G69">
        <v>1.9229166666666671</v>
      </c>
      <c r="H69">
        <v>17.3</v>
      </c>
      <c r="I69">
        <v>122.60863095238091</v>
      </c>
      <c r="J69">
        <v>31.5</v>
      </c>
      <c r="K69">
        <v>188.25</v>
      </c>
      <c r="L69">
        <v>20598.25</v>
      </c>
      <c r="M69">
        <v>220164.75</v>
      </c>
      <c r="N69">
        <v>749.92499999999995</v>
      </c>
      <c r="O69">
        <v>5597.85</v>
      </c>
      <c r="P69">
        <v>0</v>
      </c>
      <c r="Q69">
        <v>7</v>
      </c>
    </row>
    <row r="70" spans="1:17" x14ac:dyDescent="0.25">
      <c r="A70" s="2">
        <v>45236</v>
      </c>
      <c r="B70">
        <v>2</v>
      </c>
      <c r="C70">
        <v>15.09895678092399</v>
      </c>
      <c r="D70">
        <v>8.9</v>
      </c>
      <c r="E70">
        <v>23.1</v>
      </c>
      <c r="F70">
        <v>82.254843517138596</v>
      </c>
      <c r="G70">
        <v>3.0259314456035771</v>
      </c>
      <c r="H70">
        <v>5.6</v>
      </c>
      <c r="I70">
        <v>139.1385991058122</v>
      </c>
      <c r="J70">
        <v>8.125</v>
      </c>
      <c r="K70">
        <v>190.47499999999999</v>
      </c>
      <c r="L70">
        <v>23340.5</v>
      </c>
      <c r="M70">
        <v>218533.5</v>
      </c>
      <c r="N70">
        <v>855.35</v>
      </c>
      <c r="O70">
        <v>5851.3499999999995</v>
      </c>
      <c r="P70">
        <v>0</v>
      </c>
      <c r="Q70">
        <v>7</v>
      </c>
    </row>
    <row r="71" spans="1:17" x14ac:dyDescent="0.25">
      <c r="A71" s="2">
        <v>45243</v>
      </c>
      <c r="B71">
        <v>2</v>
      </c>
      <c r="C71">
        <v>15.207164179104479</v>
      </c>
      <c r="D71">
        <v>6.1</v>
      </c>
      <c r="E71">
        <v>24.8</v>
      </c>
      <c r="F71">
        <v>81.119402985074629</v>
      </c>
      <c r="G71">
        <v>2.778656716417911</v>
      </c>
      <c r="H71">
        <v>6.1</v>
      </c>
      <c r="I71">
        <v>175.10597014925369</v>
      </c>
      <c r="J71">
        <v>11.4</v>
      </c>
      <c r="K71">
        <v>201.375</v>
      </c>
      <c r="L71">
        <v>29330.25</v>
      </c>
      <c r="M71">
        <v>226476.5</v>
      </c>
      <c r="N71">
        <v>872.2</v>
      </c>
      <c r="O71">
        <v>6141.1750000000002</v>
      </c>
      <c r="P71">
        <v>0</v>
      </c>
      <c r="Q71">
        <v>7</v>
      </c>
    </row>
    <row r="72" spans="1:17" x14ac:dyDescent="0.25">
      <c r="A72" s="2">
        <v>45250</v>
      </c>
      <c r="B72">
        <v>2</v>
      </c>
      <c r="C72">
        <v>14.01502976190476</v>
      </c>
      <c r="D72">
        <v>6.1</v>
      </c>
      <c r="E72">
        <v>23.6</v>
      </c>
      <c r="F72">
        <v>81.979166666666671</v>
      </c>
      <c r="G72">
        <v>2.5239583333333329</v>
      </c>
      <c r="H72">
        <v>1</v>
      </c>
      <c r="I72">
        <v>172.76488095238099</v>
      </c>
      <c r="J72">
        <v>1.4</v>
      </c>
      <c r="K72">
        <v>177.57499999999999</v>
      </c>
      <c r="L72">
        <v>29024.5</v>
      </c>
      <c r="M72">
        <v>223833.5</v>
      </c>
      <c r="N72">
        <v>674.52499999999998</v>
      </c>
      <c r="O72">
        <v>6097.05</v>
      </c>
      <c r="P72">
        <v>0</v>
      </c>
      <c r="Q72">
        <v>7</v>
      </c>
    </row>
    <row r="73" spans="1:17" x14ac:dyDescent="0.25">
      <c r="A73" s="2">
        <v>45257</v>
      </c>
      <c r="B73">
        <v>2</v>
      </c>
      <c r="C73">
        <v>13.716517857142859</v>
      </c>
      <c r="D73">
        <v>3.2</v>
      </c>
      <c r="E73">
        <v>24.6</v>
      </c>
      <c r="F73">
        <v>79.389880952380949</v>
      </c>
      <c r="G73">
        <v>2.928720238095238</v>
      </c>
      <c r="H73">
        <v>0.3</v>
      </c>
      <c r="I73">
        <v>184.53720238095241</v>
      </c>
      <c r="J73">
        <v>0.3</v>
      </c>
      <c r="K73">
        <v>167.2</v>
      </c>
      <c r="L73">
        <v>31002.25</v>
      </c>
      <c r="M73">
        <v>225631</v>
      </c>
      <c r="N73">
        <v>624.375</v>
      </c>
      <c r="O73">
        <v>5975.55</v>
      </c>
      <c r="P73">
        <v>2</v>
      </c>
      <c r="Q73">
        <v>7</v>
      </c>
    </row>
    <row r="74" spans="1:17" x14ac:dyDescent="0.25">
      <c r="A74" s="2">
        <v>45264</v>
      </c>
      <c r="B74">
        <v>2</v>
      </c>
      <c r="C74">
        <v>13.553273809523811</v>
      </c>
      <c r="D74">
        <v>4.9000000000000004</v>
      </c>
      <c r="E74">
        <v>23.9</v>
      </c>
      <c r="F74">
        <v>80.37797619047619</v>
      </c>
      <c r="G74">
        <v>2.9273809523809531</v>
      </c>
      <c r="H74">
        <v>3</v>
      </c>
      <c r="I74">
        <v>160.5297619047619</v>
      </c>
      <c r="J74">
        <v>4.95</v>
      </c>
      <c r="K74">
        <v>130.97499999999999</v>
      </c>
      <c r="L74">
        <v>26969</v>
      </c>
      <c r="M74">
        <v>226517.75</v>
      </c>
      <c r="N74">
        <v>596.95000000000005</v>
      </c>
      <c r="O74">
        <v>5768.5999999999995</v>
      </c>
      <c r="P74">
        <v>0</v>
      </c>
      <c r="Q74">
        <v>7</v>
      </c>
    </row>
    <row r="75" spans="1:17" x14ac:dyDescent="0.25">
      <c r="A75" s="2">
        <v>45271</v>
      </c>
      <c r="B75">
        <v>2</v>
      </c>
      <c r="C75">
        <v>14.77709580838323</v>
      </c>
      <c r="D75">
        <v>5.7</v>
      </c>
      <c r="E75">
        <v>24.7</v>
      </c>
      <c r="F75">
        <v>82.435628742514965</v>
      </c>
      <c r="G75">
        <v>1.851646706586827</v>
      </c>
      <c r="H75">
        <v>8.1</v>
      </c>
      <c r="I75">
        <v>146.55089820359279</v>
      </c>
      <c r="J75">
        <v>14.9</v>
      </c>
      <c r="K75">
        <v>129.67500000000001</v>
      </c>
      <c r="L75">
        <v>24474</v>
      </c>
      <c r="M75">
        <v>224364</v>
      </c>
      <c r="N75">
        <v>797.77499999999998</v>
      </c>
      <c r="O75">
        <v>5910.125</v>
      </c>
      <c r="P75">
        <v>0</v>
      </c>
      <c r="Q75">
        <v>7</v>
      </c>
    </row>
    <row r="76" spans="1:17" x14ac:dyDescent="0.25">
      <c r="A76" s="2">
        <v>45278</v>
      </c>
      <c r="B76">
        <v>2</v>
      </c>
      <c r="C76">
        <v>14.98072837632777</v>
      </c>
      <c r="D76">
        <v>7.4</v>
      </c>
      <c r="E76">
        <v>25.8</v>
      </c>
      <c r="F76">
        <v>83.429438543247343</v>
      </c>
      <c r="G76">
        <v>2.0755690440060701</v>
      </c>
      <c r="H76">
        <v>6.9</v>
      </c>
      <c r="I76">
        <v>163.7738998482549</v>
      </c>
      <c r="J76">
        <v>12.275</v>
      </c>
      <c r="K76">
        <v>117.825</v>
      </c>
      <c r="L76">
        <v>26981.75</v>
      </c>
      <c r="M76">
        <v>225983.5</v>
      </c>
      <c r="N76">
        <v>820.57500000000005</v>
      </c>
      <c r="O76">
        <v>5991.6750000000002</v>
      </c>
      <c r="P76">
        <v>0</v>
      </c>
      <c r="Q76">
        <v>7</v>
      </c>
    </row>
    <row r="77" spans="1:17" x14ac:dyDescent="0.25">
      <c r="A77" s="2">
        <v>45285</v>
      </c>
      <c r="B77">
        <v>2</v>
      </c>
      <c r="C77">
        <v>15.14545454545455</v>
      </c>
      <c r="D77">
        <v>7.5</v>
      </c>
      <c r="E77">
        <v>24.2</v>
      </c>
      <c r="F77">
        <v>84.117734724292106</v>
      </c>
      <c r="G77">
        <v>2.0380029806259321</v>
      </c>
      <c r="H77">
        <v>12.2</v>
      </c>
      <c r="I77">
        <v>146.20715350223551</v>
      </c>
      <c r="J77">
        <v>13.55</v>
      </c>
      <c r="K77">
        <v>94.275000000000006</v>
      </c>
      <c r="L77">
        <v>24526.25</v>
      </c>
      <c r="M77">
        <v>226335.25</v>
      </c>
      <c r="N77">
        <v>863.15</v>
      </c>
      <c r="O77">
        <v>6104.9</v>
      </c>
      <c r="P77">
        <v>0</v>
      </c>
      <c r="Q77">
        <v>7</v>
      </c>
    </row>
    <row r="78" spans="1:17" x14ac:dyDescent="0.25">
      <c r="A78" s="2">
        <v>45292</v>
      </c>
      <c r="B78">
        <v>2</v>
      </c>
      <c r="C78">
        <v>14.27604166666667</v>
      </c>
      <c r="D78">
        <v>3.8</v>
      </c>
      <c r="E78">
        <v>25.2</v>
      </c>
      <c r="F78">
        <v>80.151785714285708</v>
      </c>
      <c r="G78">
        <v>2.7788690476190481</v>
      </c>
      <c r="H78">
        <v>0</v>
      </c>
      <c r="I78">
        <v>215.61458333333329</v>
      </c>
      <c r="J78">
        <v>0</v>
      </c>
      <c r="K78">
        <v>59.075000000000003</v>
      </c>
      <c r="L78">
        <v>36223.25</v>
      </c>
      <c r="M78">
        <v>242668</v>
      </c>
      <c r="N78">
        <v>718.375</v>
      </c>
      <c r="O78">
        <v>5967.9250000000002</v>
      </c>
      <c r="P78">
        <v>2</v>
      </c>
      <c r="Q78">
        <v>7</v>
      </c>
    </row>
    <row r="79" spans="1:17" x14ac:dyDescent="0.25">
      <c r="A79" s="2">
        <v>45299</v>
      </c>
      <c r="B79">
        <v>2</v>
      </c>
      <c r="C79">
        <v>14.101041666666671</v>
      </c>
      <c r="D79">
        <v>3.1</v>
      </c>
      <c r="E79">
        <v>25.1</v>
      </c>
      <c r="F79">
        <v>81.68452380952381</v>
      </c>
      <c r="G79">
        <v>2.8107142857142851</v>
      </c>
      <c r="H79">
        <v>5.8</v>
      </c>
      <c r="I79">
        <v>211.61607142857139</v>
      </c>
      <c r="J79">
        <v>8.0250000000000004</v>
      </c>
      <c r="K79">
        <v>64.8</v>
      </c>
      <c r="L79">
        <v>35551.5</v>
      </c>
      <c r="M79">
        <v>252542.5</v>
      </c>
      <c r="N79">
        <v>688.97500000000002</v>
      </c>
      <c r="O79">
        <v>5784.7</v>
      </c>
      <c r="P79">
        <v>2</v>
      </c>
      <c r="Q79">
        <v>7</v>
      </c>
    </row>
    <row r="80" spans="1:17" x14ac:dyDescent="0.25">
      <c r="A80" s="2">
        <v>45306</v>
      </c>
      <c r="B80">
        <v>2</v>
      </c>
      <c r="C80">
        <v>13.90581222056632</v>
      </c>
      <c r="D80">
        <v>4.0999999999999996</v>
      </c>
      <c r="E80">
        <v>24.4</v>
      </c>
      <c r="F80">
        <v>73.809239940387485</v>
      </c>
      <c r="G80">
        <v>3.3380029806259319</v>
      </c>
      <c r="H80">
        <v>0</v>
      </c>
      <c r="I80">
        <v>199.49180327868851</v>
      </c>
      <c r="J80">
        <v>0</v>
      </c>
      <c r="K80">
        <v>54</v>
      </c>
      <c r="L80">
        <v>33464.75</v>
      </c>
      <c r="M80">
        <v>254270.75</v>
      </c>
      <c r="N80">
        <v>655.20000000000005</v>
      </c>
      <c r="O80">
        <v>5765.375</v>
      </c>
      <c r="P80">
        <v>0</v>
      </c>
      <c r="Q80">
        <v>7</v>
      </c>
    </row>
    <row r="81" spans="1:17" x14ac:dyDescent="0.25">
      <c r="A81" s="2">
        <v>45313</v>
      </c>
      <c r="B81">
        <v>2</v>
      </c>
      <c r="C81">
        <v>14.18907185628742</v>
      </c>
      <c r="D81">
        <v>1.7</v>
      </c>
      <c r="E81">
        <v>26.9</v>
      </c>
      <c r="F81">
        <v>71.706586826347305</v>
      </c>
      <c r="G81">
        <v>2.9387724550898202</v>
      </c>
      <c r="H81">
        <v>0</v>
      </c>
      <c r="I81">
        <v>239.41317365269461</v>
      </c>
      <c r="J81">
        <v>0</v>
      </c>
      <c r="K81">
        <v>54</v>
      </c>
      <c r="L81">
        <v>39982</v>
      </c>
      <c r="M81">
        <v>267029</v>
      </c>
      <c r="N81">
        <v>699.57500000000005</v>
      </c>
      <c r="O81">
        <v>5840.5749999999998</v>
      </c>
      <c r="P81">
        <v>3</v>
      </c>
      <c r="Q81">
        <v>7</v>
      </c>
    </row>
    <row r="82" spans="1:17" x14ac:dyDescent="0.25">
      <c r="A82" s="2">
        <v>45320</v>
      </c>
      <c r="B82">
        <v>2</v>
      </c>
      <c r="C82">
        <v>15.384902840059789</v>
      </c>
      <c r="D82">
        <v>5.4</v>
      </c>
      <c r="E82">
        <v>25.3</v>
      </c>
      <c r="F82">
        <v>82.406576980568019</v>
      </c>
      <c r="G82">
        <v>2.5467862481315402</v>
      </c>
      <c r="H82">
        <v>9.9</v>
      </c>
      <c r="I82">
        <v>174.84902840059789</v>
      </c>
      <c r="J82">
        <v>9.7749999999999986</v>
      </c>
      <c r="K82">
        <v>63.474999999999987</v>
      </c>
      <c r="L82">
        <v>29243.5</v>
      </c>
      <c r="M82">
        <v>265574.75</v>
      </c>
      <c r="N82">
        <v>900.625</v>
      </c>
      <c r="O82">
        <v>6144.25</v>
      </c>
      <c r="P82">
        <v>0</v>
      </c>
      <c r="Q82">
        <v>7</v>
      </c>
    </row>
    <row r="83" spans="1:17" x14ac:dyDescent="0.25">
      <c r="A83" s="2">
        <v>45327</v>
      </c>
      <c r="B83">
        <v>2</v>
      </c>
      <c r="C83">
        <v>14.296938775510201</v>
      </c>
      <c r="D83">
        <v>5.3</v>
      </c>
      <c r="E83">
        <v>23.4</v>
      </c>
      <c r="F83">
        <v>85.452380952380949</v>
      </c>
      <c r="G83">
        <v>1.9744897959183669</v>
      </c>
      <c r="H83">
        <v>15.5</v>
      </c>
      <c r="I83">
        <v>141.66326530612241</v>
      </c>
      <c r="J83">
        <v>24.074999999999999</v>
      </c>
      <c r="K83">
        <v>82.6</v>
      </c>
      <c r="L83">
        <v>20824.5</v>
      </c>
      <c r="M83">
        <v>258389.25</v>
      </c>
      <c r="N83">
        <v>631.65</v>
      </c>
      <c r="O83">
        <v>5978.125</v>
      </c>
      <c r="P83">
        <v>0</v>
      </c>
      <c r="Q83">
        <v>7</v>
      </c>
    </row>
    <row r="84" spans="1:17" x14ac:dyDescent="0.25">
      <c r="A84" s="2">
        <v>45334</v>
      </c>
      <c r="B84">
        <v>2</v>
      </c>
      <c r="C84">
        <v>15.33786078098472</v>
      </c>
      <c r="D84">
        <v>4.7</v>
      </c>
      <c r="E84">
        <v>25.6</v>
      </c>
      <c r="F84">
        <v>78.181663837011882</v>
      </c>
      <c r="G84">
        <v>3.5259762308998299</v>
      </c>
      <c r="H84">
        <v>0.3</v>
      </c>
      <c r="I84">
        <v>183.40407470288619</v>
      </c>
      <c r="J84">
        <v>0.3</v>
      </c>
      <c r="K84">
        <v>55.724999999999987</v>
      </c>
      <c r="L84">
        <v>27006.25</v>
      </c>
      <c r="M84">
        <v>263086.75</v>
      </c>
      <c r="N84">
        <v>786</v>
      </c>
      <c r="O84">
        <v>5943.55</v>
      </c>
      <c r="P84">
        <v>0</v>
      </c>
      <c r="Q84">
        <v>7</v>
      </c>
    </row>
    <row r="85" spans="1:17" x14ac:dyDescent="0.25">
      <c r="A85" s="2">
        <v>45341</v>
      </c>
      <c r="B85">
        <v>2</v>
      </c>
      <c r="C85">
        <v>14.10699404761905</v>
      </c>
      <c r="D85">
        <v>3.5</v>
      </c>
      <c r="E85">
        <v>23.7</v>
      </c>
      <c r="F85">
        <v>80.96577380952381</v>
      </c>
      <c r="G85">
        <v>3.9668154761904759</v>
      </c>
      <c r="H85">
        <v>0.3</v>
      </c>
      <c r="I85">
        <v>234.98660714285711</v>
      </c>
      <c r="J85">
        <v>0.3</v>
      </c>
      <c r="K85">
        <v>43.375</v>
      </c>
      <c r="L85">
        <v>39477.75</v>
      </c>
      <c r="M85">
        <v>276882</v>
      </c>
      <c r="N85">
        <v>689.97500000000002</v>
      </c>
      <c r="O85">
        <v>5770.375</v>
      </c>
      <c r="P85">
        <v>1</v>
      </c>
      <c r="Q85">
        <v>7</v>
      </c>
    </row>
    <row r="86" spans="1:17" x14ac:dyDescent="0.25">
      <c r="A86" s="2">
        <v>45348</v>
      </c>
      <c r="B86">
        <v>2</v>
      </c>
      <c r="C86">
        <v>14.632474226804121</v>
      </c>
      <c r="D86">
        <v>5.0999999999999996</v>
      </c>
      <c r="E86">
        <v>24.8</v>
      </c>
      <c r="F86">
        <v>82.414089347079042</v>
      </c>
      <c r="G86">
        <v>3.0321305841924402</v>
      </c>
      <c r="H86">
        <v>2</v>
      </c>
      <c r="I86">
        <v>168.07044673539519</v>
      </c>
      <c r="J86">
        <v>2.4</v>
      </c>
      <c r="K86">
        <v>44.875</v>
      </c>
      <c r="L86">
        <v>24454.25</v>
      </c>
      <c r="M86">
        <v>271998.5</v>
      </c>
      <c r="N86">
        <v>674.02499999999998</v>
      </c>
      <c r="O86">
        <v>5726.0250000000005</v>
      </c>
      <c r="P86">
        <v>0</v>
      </c>
      <c r="Q86">
        <v>7</v>
      </c>
    </row>
    <row r="87" spans="1:17" x14ac:dyDescent="0.25">
      <c r="A87" s="2">
        <v>45355</v>
      </c>
      <c r="B87">
        <v>2</v>
      </c>
      <c r="C87">
        <v>15.49180327868852</v>
      </c>
      <c r="D87">
        <v>7.6</v>
      </c>
      <c r="E87">
        <v>25.4</v>
      </c>
      <c r="F87">
        <v>79.5946348733234</v>
      </c>
      <c r="G87">
        <v>2.9402384500745158</v>
      </c>
      <c r="H87">
        <v>0.3</v>
      </c>
      <c r="I87">
        <v>162.3934426229508</v>
      </c>
      <c r="J87">
        <v>0.3</v>
      </c>
      <c r="K87">
        <v>38.25</v>
      </c>
      <c r="L87">
        <v>27241.5</v>
      </c>
      <c r="M87">
        <v>260755.75</v>
      </c>
      <c r="N87">
        <v>921.25</v>
      </c>
      <c r="O87">
        <v>5958.3</v>
      </c>
      <c r="P87">
        <v>0</v>
      </c>
      <c r="Q87">
        <v>7</v>
      </c>
    </row>
    <row r="88" spans="1:17" x14ac:dyDescent="0.25">
      <c r="A88" s="2">
        <v>45362</v>
      </c>
      <c r="B88">
        <v>2</v>
      </c>
      <c r="C88">
        <v>15.33218562874251</v>
      </c>
      <c r="D88">
        <v>6.7</v>
      </c>
      <c r="E88">
        <v>24.7</v>
      </c>
      <c r="F88">
        <v>77.805389221556879</v>
      </c>
      <c r="G88">
        <v>2.4510479041916171</v>
      </c>
      <c r="H88">
        <v>0</v>
      </c>
      <c r="I88">
        <v>137.85928143712579</v>
      </c>
      <c r="J88">
        <v>0</v>
      </c>
      <c r="K88">
        <v>37.15</v>
      </c>
      <c r="L88">
        <v>23022.5</v>
      </c>
      <c r="M88">
        <v>247695.75</v>
      </c>
      <c r="N88">
        <v>890.47500000000002</v>
      </c>
      <c r="O88">
        <v>6193.5749999999998</v>
      </c>
      <c r="P88">
        <v>0</v>
      </c>
      <c r="Q88">
        <v>7</v>
      </c>
    </row>
    <row r="89" spans="1:17" x14ac:dyDescent="0.25">
      <c r="A89" s="2">
        <v>45369</v>
      </c>
      <c r="B89">
        <v>2</v>
      </c>
      <c r="C89">
        <v>15.64462686567164</v>
      </c>
      <c r="D89">
        <v>5.7</v>
      </c>
      <c r="E89">
        <v>25.5</v>
      </c>
      <c r="F89">
        <v>80.737313432835819</v>
      </c>
      <c r="G89">
        <v>2.2092537313432841</v>
      </c>
      <c r="H89">
        <v>0.8</v>
      </c>
      <c r="I89">
        <v>181.04626865671639</v>
      </c>
      <c r="J89">
        <v>1.65</v>
      </c>
      <c r="K89">
        <v>38.799999999999997</v>
      </c>
      <c r="L89">
        <v>30325.25</v>
      </c>
      <c r="M89">
        <v>244119.75</v>
      </c>
      <c r="N89">
        <v>945.47500000000002</v>
      </c>
      <c r="O89">
        <v>6439.4750000000004</v>
      </c>
      <c r="P89">
        <v>0</v>
      </c>
      <c r="Q89">
        <v>7</v>
      </c>
    </row>
    <row r="90" spans="1:17" x14ac:dyDescent="0.25">
      <c r="A90" s="2">
        <v>45376</v>
      </c>
      <c r="B90">
        <v>2</v>
      </c>
      <c r="C90">
        <v>14.631398809523811</v>
      </c>
      <c r="D90">
        <v>6</v>
      </c>
      <c r="E90">
        <v>24</v>
      </c>
      <c r="F90">
        <v>81.5</v>
      </c>
      <c r="G90">
        <v>2.5949404761904762</v>
      </c>
      <c r="H90">
        <v>1.3</v>
      </c>
      <c r="I90">
        <v>173.00892857142861</v>
      </c>
      <c r="J90">
        <v>1.3</v>
      </c>
      <c r="K90">
        <v>40.1</v>
      </c>
      <c r="L90">
        <v>29065.5</v>
      </c>
      <c r="M90">
        <v>235278</v>
      </c>
      <c r="N90">
        <v>778.07500000000005</v>
      </c>
      <c r="O90">
        <v>6316.9250000000002</v>
      </c>
      <c r="P90">
        <v>0</v>
      </c>
      <c r="Q90">
        <v>7</v>
      </c>
    </row>
    <row r="91" spans="1:17" x14ac:dyDescent="0.25">
      <c r="A91" s="2">
        <v>45383</v>
      </c>
      <c r="B91">
        <v>2</v>
      </c>
      <c r="C91">
        <v>14.664420062695919</v>
      </c>
      <c r="D91">
        <v>6.7</v>
      </c>
      <c r="E91">
        <v>23.6</v>
      </c>
      <c r="F91">
        <v>83.252351097178689</v>
      </c>
      <c r="G91">
        <v>2.3611285266457682</v>
      </c>
      <c r="H91">
        <v>6.6</v>
      </c>
      <c r="I91">
        <v>134.81347962382449</v>
      </c>
      <c r="J91">
        <v>12.6</v>
      </c>
      <c r="K91">
        <v>18.850000000000001</v>
      </c>
      <c r="L91">
        <v>21502.75</v>
      </c>
      <c r="M91">
        <v>233199.75</v>
      </c>
      <c r="N91">
        <v>743.97500000000002</v>
      </c>
      <c r="O91">
        <v>6429.25</v>
      </c>
      <c r="P91">
        <v>0</v>
      </c>
      <c r="Q91">
        <v>7</v>
      </c>
    </row>
    <row r="92" spans="1:17" x14ac:dyDescent="0.25">
      <c r="A92" s="2">
        <v>45390</v>
      </c>
      <c r="B92">
        <v>2</v>
      </c>
      <c r="C92">
        <v>14.93630952380953</v>
      </c>
      <c r="D92">
        <v>1.9</v>
      </c>
      <c r="E92">
        <v>26.2</v>
      </c>
      <c r="F92">
        <v>76.950892857142861</v>
      </c>
      <c r="G92">
        <v>2.8348214285714279</v>
      </c>
      <c r="H92">
        <v>0</v>
      </c>
      <c r="I92">
        <v>206.63988095238099</v>
      </c>
      <c r="J92">
        <v>0</v>
      </c>
      <c r="K92">
        <v>18.850000000000001</v>
      </c>
      <c r="L92">
        <v>34715.5</v>
      </c>
      <c r="M92">
        <v>242974</v>
      </c>
      <c r="N92">
        <v>829.3</v>
      </c>
      <c r="O92">
        <v>6472.55</v>
      </c>
      <c r="P92">
        <v>1</v>
      </c>
      <c r="Q92">
        <v>7</v>
      </c>
    </row>
    <row r="93" spans="1:17" x14ac:dyDescent="0.25">
      <c r="A93" s="2">
        <v>45397</v>
      </c>
      <c r="B93">
        <v>2</v>
      </c>
      <c r="C93">
        <v>15.35322338830585</v>
      </c>
      <c r="D93">
        <v>7</v>
      </c>
      <c r="E93">
        <v>26</v>
      </c>
      <c r="F93">
        <v>82.656671664167916</v>
      </c>
      <c r="G93">
        <v>2.2875562218890551</v>
      </c>
      <c r="H93">
        <v>16.5</v>
      </c>
      <c r="I93">
        <v>149.64767616191901</v>
      </c>
      <c r="J93">
        <v>24.125</v>
      </c>
      <c r="K93">
        <v>42.674999999999997</v>
      </c>
      <c r="L93">
        <v>24953.75</v>
      </c>
      <c r="M93">
        <v>236116.75</v>
      </c>
      <c r="N93">
        <v>892.65</v>
      </c>
      <c r="O93">
        <v>6675.2250000000004</v>
      </c>
      <c r="P93">
        <v>0</v>
      </c>
      <c r="Q93">
        <v>7</v>
      </c>
    </row>
    <row r="94" spans="1:17" x14ac:dyDescent="0.25">
      <c r="A94" s="2">
        <v>45404</v>
      </c>
      <c r="B94">
        <v>2</v>
      </c>
      <c r="C94">
        <v>15.33080357142857</v>
      </c>
      <c r="D94">
        <v>10.6</v>
      </c>
      <c r="E94">
        <v>25.1</v>
      </c>
      <c r="F94">
        <v>84.769345238095241</v>
      </c>
      <c r="G94">
        <v>1.7241071428571431</v>
      </c>
      <c r="H94">
        <v>8.4</v>
      </c>
      <c r="I94">
        <v>117.47321428571431</v>
      </c>
      <c r="J94">
        <v>17.675000000000001</v>
      </c>
      <c r="K94">
        <v>59.75</v>
      </c>
      <c r="L94">
        <v>19735.5</v>
      </c>
      <c r="M94">
        <v>223603.75</v>
      </c>
      <c r="N94">
        <v>895.57500000000005</v>
      </c>
      <c r="O94">
        <v>6896.7749999999996</v>
      </c>
      <c r="P94">
        <v>0</v>
      </c>
      <c r="Q94">
        <v>7</v>
      </c>
    </row>
    <row r="95" spans="1:17" x14ac:dyDescent="0.25">
      <c r="A95" s="2">
        <v>45411</v>
      </c>
      <c r="B95">
        <v>2</v>
      </c>
      <c r="C95">
        <v>15.310433386837881</v>
      </c>
      <c r="D95">
        <v>7.6</v>
      </c>
      <c r="E95">
        <v>24.1</v>
      </c>
      <c r="F95">
        <v>86.048154093097907</v>
      </c>
      <c r="G95">
        <v>2.176565008025682</v>
      </c>
      <c r="H95">
        <v>13.7</v>
      </c>
      <c r="I95">
        <v>130.92134831460669</v>
      </c>
      <c r="J95">
        <v>31</v>
      </c>
      <c r="K95">
        <v>88.35</v>
      </c>
      <c r="L95">
        <v>20391</v>
      </c>
      <c r="M95">
        <v>217403.5</v>
      </c>
      <c r="N95">
        <v>827.1</v>
      </c>
      <c r="O95">
        <v>6802.625</v>
      </c>
      <c r="P95">
        <v>0</v>
      </c>
      <c r="Q95">
        <v>7</v>
      </c>
    </row>
    <row r="96" spans="1:17" x14ac:dyDescent="0.25">
      <c r="A96" s="2">
        <v>45418</v>
      </c>
      <c r="B96">
        <v>2</v>
      </c>
      <c r="C96">
        <v>15.6016369047619</v>
      </c>
      <c r="D96">
        <v>9.8000000000000007</v>
      </c>
      <c r="E96">
        <v>24.4</v>
      </c>
      <c r="F96">
        <v>86.209821428571431</v>
      </c>
      <c r="G96">
        <v>2.0925595238095238</v>
      </c>
      <c r="H96">
        <v>22.6</v>
      </c>
      <c r="I96">
        <v>127.7916666666667</v>
      </c>
      <c r="J96">
        <v>42.1</v>
      </c>
      <c r="K96">
        <v>130.44999999999999</v>
      </c>
      <c r="L96">
        <v>21469</v>
      </c>
      <c r="M96">
        <v>215560.25</v>
      </c>
      <c r="N96">
        <v>941.07500000000005</v>
      </c>
      <c r="O96">
        <v>6853.2250000000004</v>
      </c>
      <c r="P96">
        <v>0</v>
      </c>
      <c r="Q96">
        <v>7</v>
      </c>
    </row>
    <row r="97" spans="1:17" x14ac:dyDescent="0.25">
      <c r="A97" s="2">
        <v>45425</v>
      </c>
      <c r="B97">
        <v>2</v>
      </c>
      <c r="C97">
        <v>15.789638157894739</v>
      </c>
      <c r="D97">
        <v>7.8</v>
      </c>
      <c r="E97">
        <v>24.3</v>
      </c>
      <c r="F97">
        <v>81.702302631578945</v>
      </c>
      <c r="G97">
        <v>2.974506578947369</v>
      </c>
      <c r="H97">
        <v>8.4</v>
      </c>
      <c r="I97">
        <v>158.63322368421049</v>
      </c>
      <c r="J97">
        <v>8.625</v>
      </c>
      <c r="K97">
        <v>138.52500000000001</v>
      </c>
      <c r="L97">
        <v>24112.25</v>
      </c>
      <c r="M97">
        <v>215349.25</v>
      </c>
      <c r="N97">
        <v>880.02499999999998</v>
      </c>
      <c r="O97">
        <v>6787.7749999999996</v>
      </c>
      <c r="P97">
        <v>0</v>
      </c>
      <c r="Q97">
        <v>7</v>
      </c>
    </row>
    <row r="98" spans="1:17" x14ac:dyDescent="0.25">
      <c r="A98" s="2">
        <v>45432</v>
      </c>
      <c r="B98">
        <v>2</v>
      </c>
      <c r="C98">
        <v>15.08843226788432</v>
      </c>
      <c r="D98">
        <v>8.8000000000000007</v>
      </c>
      <c r="E98">
        <v>25.1</v>
      </c>
      <c r="F98">
        <v>83.261796042617959</v>
      </c>
      <c r="G98">
        <v>2.205631659056317</v>
      </c>
      <c r="H98">
        <v>1.8</v>
      </c>
      <c r="I98">
        <v>138.53424657534251</v>
      </c>
      <c r="J98">
        <v>4.2</v>
      </c>
      <c r="K98">
        <v>141.625</v>
      </c>
      <c r="L98">
        <v>22754.25</v>
      </c>
      <c r="M98">
        <v>203391.25</v>
      </c>
      <c r="N98">
        <v>835.77499999999998</v>
      </c>
      <c r="O98">
        <v>6845.4750000000004</v>
      </c>
      <c r="P98">
        <v>0</v>
      </c>
      <c r="Q98">
        <v>7</v>
      </c>
    </row>
    <row r="99" spans="1:17" x14ac:dyDescent="0.25">
      <c r="A99" s="2">
        <v>45439</v>
      </c>
      <c r="B99">
        <v>2</v>
      </c>
      <c r="C99">
        <v>15.11588330632091</v>
      </c>
      <c r="D99">
        <v>9.1999999999999993</v>
      </c>
      <c r="E99">
        <v>24.8</v>
      </c>
      <c r="F99">
        <v>85.62398703403565</v>
      </c>
      <c r="G99">
        <v>2.3564019448946518</v>
      </c>
      <c r="H99">
        <v>24.4</v>
      </c>
      <c r="I99">
        <v>136.24959481361429</v>
      </c>
      <c r="J99">
        <v>33.85</v>
      </c>
      <c r="K99">
        <v>161.875</v>
      </c>
      <c r="L99">
        <v>21016.5</v>
      </c>
      <c r="M99">
        <v>202571.5</v>
      </c>
      <c r="N99">
        <v>789.125</v>
      </c>
      <c r="O99">
        <v>6890.625</v>
      </c>
      <c r="P99">
        <v>0</v>
      </c>
      <c r="Q99">
        <v>7</v>
      </c>
    </row>
    <row r="100" spans="1:17" x14ac:dyDescent="0.25">
      <c r="A100" s="2">
        <v>45446</v>
      </c>
      <c r="B100">
        <v>2</v>
      </c>
      <c r="C100">
        <v>15.014220183486239</v>
      </c>
      <c r="D100">
        <v>7.2</v>
      </c>
      <c r="E100">
        <v>24.1</v>
      </c>
      <c r="F100">
        <v>83.707951070336392</v>
      </c>
      <c r="G100">
        <v>2.092354740061162</v>
      </c>
      <c r="H100">
        <v>7.4</v>
      </c>
      <c r="I100">
        <v>139.02752293577981</v>
      </c>
      <c r="J100">
        <v>16.850000000000001</v>
      </c>
      <c r="K100">
        <v>178.42500000000001</v>
      </c>
      <c r="L100">
        <v>22731</v>
      </c>
      <c r="M100">
        <v>198492.5</v>
      </c>
      <c r="N100">
        <v>819.82500000000005</v>
      </c>
      <c r="O100">
        <v>6881.15</v>
      </c>
      <c r="P100">
        <v>0</v>
      </c>
      <c r="Q100">
        <v>7</v>
      </c>
    </row>
    <row r="101" spans="1:17" x14ac:dyDescent="0.25">
      <c r="A101" s="2">
        <v>45453</v>
      </c>
      <c r="B101">
        <v>2</v>
      </c>
      <c r="C101">
        <v>13.54586666666667</v>
      </c>
      <c r="D101">
        <v>7.9</v>
      </c>
      <c r="E101">
        <v>22.6</v>
      </c>
      <c r="F101">
        <v>88.87466666666667</v>
      </c>
      <c r="G101">
        <v>1.4392</v>
      </c>
      <c r="H101">
        <v>13.7</v>
      </c>
      <c r="I101">
        <v>114.5866666666667</v>
      </c>
      <c r="J101">
        <v>23.4</v>
      </c>
      <c r="K101">
        <v>201.82499999999999</v>
      </c>
      <c r="L101">
        <v>10742.5</v>
      </c>
      <c r="M101">
        <v>173718</v>
      </c>
      <c r="N101">
        <v>332.42500000000001</v>
      </c>
      <c r="O101">
        <v>6320.9250000000002</v>
      </c>
      <c r="P101">
        <v>0</v>
      </c>
      <c r="Q101">
        <v>7</v>
      </c>
    </row>
    <row r="102" spans="1:17" x14ac:dyDescent="0.25">
      <c r="A102" s="2">
        <v>45460</v>
      </c>
      <c r="B102">
        <v>2</v>
      </c>
      <c r="C102">
        <v>14.203327495621719</v>
      </c>
      <c r="D102">
        <v>8.1</v>
      </c>
      <c r="E102">
        <v>23.3</v>
      </c>
      <c r="F102">
        <v>85.856392294220669</v>
      </c>
      <c r="G102">
        <v>1.5882661996497369</v>
      </c>
      <c r="H102">
        <v>24.1</v>
      </c>
      <c r="I102">
        <v>123.5954465849387</v>
      </c>
      <c r="J102">
        <v>26.2</v>
      </c>
      <c r="K102">
        <v>198.22499999999999</v>
      </c>
      <c r="L102">
        <v>17643.25</v>
      </c>
      <c r="M102">
        <v>170984</v>
      </c>
      <c r="N102">
        <v>600.02499999999998</v>
      </c>
      <c r="O102">
        <v>6025.375</v>
      </c>
      <c r="P102">
        <v>0</v>
      </c>
      <c r="Q102">
        <v>7</v>
      </c>
    </row>
    <row r="103" spans="1:17" x14ac:dyDescent="0.25">
      <c r="A103" s="2">
        <v>45467</v>
      </c>
      <c r="B103">
        <v>2</v>
      </c>
      <c r="C103">
        <v>14.393379790940759</v>
      </c>
      <c r="D103">
        <v>7.9</v>
      </c>
      <c r="E103">
        <v>24.4</v>
      </c>
      <c r="F103">
        <v>83.785714285714292</v>
      </c>
      <c r="G103">
        <v>1.916550522648083</v>
      </c>
      <c r="H103">
        <v>2.5</v>
      </c>
      <c r="I103">
        <v>141.48606271777001</v>
      </c>
      <c r="J103">
        <v>5.3250000000000002</v>
      </c>
      <c r="K103">
        <v>178.7</v>
      </c>
      <c r="L103">
        <v>20303.25</v>
      </c>
      <c r="M103">
        <v>171337.75</v>
      </c>
      <c r="N103">
        <v>630.45000000000005</v>
      </c>
      <c r="O103">
        <v>5828.7250000000004</v>
      </c>
      <c r="P103">
        <v>0</v>
      </c>
      <c r="Q103">
        <v>7</v>
      </c>
    </row>
    <row r="104" spans="1:17" x14ac:dyDescent="0.25">
      <c r="A104" s="2">
        <v>45474</v>
      </c>
      <c r="B104">
        <v>2</v>
      </c>
      <c r="C104">
        <v>14.564188163884671</v>
      </c>
      <c r="D104">
        <v>8.8000000000000007</v>
      </c>
      <c r="E104">
        <v>23.7</v>
      </c>
      <c r="F104">
        <v>83.632776934749614</v>
      </c>
      <c r="G104">
        <v>2.1811836115326249</v>
      </c>
      <c r="H104">
        <v>16.5</v>
      </c>
      <c r="I104">
        <v>128.92564491654019</v>
      </c>
      <c r="J104">
        <v>15.35</v>
      </c>
      <c r="K104">
        <v>174.3</v>
      </c>
      <c r="L104">
        <v>21240.5</v>
      </c>
      <c r="M104">
        <v>172034</v>
      </c>
      <c r="N104">
        <v>751.95</v>
      </c>
      <c r="O104">
        <v>5639.6</v>
      </c>
      <c r="P104">
        <v>0</v>
      </c>
      <c r="Q104">
        <v>7</v>
      </c>
    </row>
    <row r="105" spans="1:17" x14ac:dyDescent="0.25">
      <c r="A105" s="2">
        <v>45509</v>
      </c>
      <c r="B105">
        <v>3</v>
      </c>
      <c r="C105">
        <v>15.212738853503179</v>
      </c>
      <c r="D105">
        <v>9.8000000000000007</v>
      </c>
      <c r="E105">
        <v>22.5</v>
      </c>
      <c r="F105">
        <v>79.611464968152873</v>
      </c>
      <c r="G105">
        <v>2.040764331210192</v>
      </c>
      <c r="H105">
        <v>4.0999999999999996</v>
      </c>
      <c r="I105">
        <v>210.15923566878979</v>
      </c>
      <c r="J105">
        <v>6.875</v>
      </c>
      <c r="K105">
        <v>154.875</v>
      </c>
      <c r="L105">
        <v>8248.75</v>
      </c>
      <c r="M105">
        <v>175835.5</v>
      </c>
      <c r="N105">
        <v>204.6</v>
      </c>
      <c r="O105">
        <v>4964.1750000000002</v>
      </c>
      <c r="P105">
        <v>0</v>
      </c>
      <c r="Q105">
        <v>2</v>
      </c>
    </row>
    <row r="106" spans="1:17" x14ac:dyDescent="0.25">
      <c r="A106" s="2">
        <v>45516</v>
      </c>
      <c r="B106">
        <v>3</v>
      </c>
      <c r="C106">
        <v>13.96934523809524</v>
      </c>
      <c r="D106">
        <v>5.4</v>
      </c>
      <c r="E106">
        <v>22.9</v>
      </c>
      <c r="F106">
        <v>77.578869047619051</v>
      </c>
      <c r="G106">
        <v>2.7556547619047622</v>
      </c>
      <c r="H106">
        <v>0.3</v>
      </c>
      <c r="I106">
        <v>163.89285714285711</v>
      </c>
      <c r="J106">
        <v>0.3</v>
      </c>
      <c r="K106">
        <v>132.35</v>
      </c>
      <c r="L106">
        <v>27534</v>
      </c>
      <c r="M106">
        <v>179007</v>
      </c>
      <c r="N106">
        <v>666.85</v>
      </c>
      <c r="O106">
        <v>4795.25</v>
      </c>
      <c r="P106">
        <v>0</v>
      </c>
      <c r="Q106">
        <v>7</v>
      </c>
    </row>
    <row r="107" spans="1:17" x14ac:dyDescent="0.25">
      <c r="A107" s="2">
        <v>45523</v>
      </c>
      <c r="B107">
        <v>3</v>
      </c>
      <c r="C107">
        <v>13.44791666666667</v>
      </c>
      <c r="D107">
        <v>4.7</v>
      </c>
      <c r="E107">
        <v>22.5</v>
      </c>
      <c r="F107">
        <v>81.607142857142861</v>
      </c>
      <c r="G107">
        <v>1.6836309523809529</v>
      </c>
      <c r="H107">
        <v>0.3</v>
      </c>
      <c r="I107">
        <v>129.88988095238099</v>
      </c>
      <c r="J107">
        <v>0.3</v>
      </c>
      <c r="K107">
        <v>128.44999999999999</v>
      </c>
      <c r="L107">
        <v>21821.5</v>
      </c>
      <c r="M107">
        <v>175655</v>
      </c>
      <c r="N107">
        <v>579.25</v>
      </c>
      <c r="O107">
        <v>4585.375</v>
      </c>
      <c r="P107">
        <v>0</v>
      </c>
      <c r="Q107">
        <v>7</v>
      </c>
    </row>
    <row r="108" spans="1:17" x14ac:dyDescent="0.25">
      <c r="A108" s="2">
        <v>45530</v>
      </c>
      <c r="B108">
        <v>3</v>
      </c>
      <c r="C108">
        <v>13.868601190476189</v>
      </c>
      <c r="D108">
        <v>4.3</v>
      </c>
      <c r="E108">
        <v>22.8</v>
      </c>
      <c r="F108">
        <v>76.669642857142861</v>
      </c>
      <c r="G108">
        <v>2.2694940476190468</v>
      </c>
      <c r="H108">
        <v>0.3</v>
      </c>
      <c r="I108">
        <v>165.89732142857139</v>
      </c>
      <c r="J108">
        <v>0.3</v>
      </c>
      <c r="K108">
        <v>94.899999999999991</v>
      </c>
      <c r="L108">
        <v>27870.75</v>
      </c>
      <c r="M108">
        <v>185989.75</v>
      </c>
      <c r="N108">
        <v>649.92499999999995</v>
      </c>
      <c r="O108">
        <v>4415.4750000000004</v>
      </c>
      <c r="P108">
        <v>0</v>
      </c>
      <c r="Q108">
        <v>7</v>
      </c>
    </row>
    <row r="109" spans="1:17" x14ac:dyDescent="0.25">
      <c r="A109" s="2">
        <v>45537</v>
      </c>
      <c r="B109">
        <v>3</v>
      </c>
      <c r="C109">
        <v>14.92679640718563</v>
      </c>
      <c r="D109">
        <v>7</v>
      </c>
      <c r="E109">
        <v>24</v>
      </c>
      <c r="F109">
        <v>77.288922155688624</v>
      </c>
      <c r="G109">
        <v>2.9056886227544911</v>
      </c>
      <c r="H109">
        <v>0</v>
      </c>
      <c r="I109">
        <v>168.70658682634729</v>
      </c>
      <c r="J109">
        <v>0</v>
      </c>
      <c r="K109">
        <v>83.125</v>
      </c>
      <c r="L109">
        <v>28174</v>
      </c>
      <c r="M109">
        <v>189523.75</v>
      </c>
      <c r="N109">
        <v>822.77499999999998</v>
      </c>
      <c r="O109">
        <v>4905.8249999999998</v>
      </c>
      <c r="P109">
        <v>0</v>
      </c>
      <c r="Q109">
        <v>7</v>
      </c>
    </row>
    <row r="110" spans="1:17" x14ac:dyDescent="0.25">
      <c r="A110" s="2">
        <v>45544</v>
      </c>
      <c r="B110">
        <v>3</v>
      </c>
      <c r="C110">
        <v>14.648958333333329</v>
      </c>
      <c r="D110">
        <v>6.1</v>
      </c>
      <c r="E110">
        <v>24.7</v>
      </c>
      <c r="F110">
        <v>77.049107142857139</v>
      </c>
      <c r="G110">
        <v>2.5203869047619052</v>
      </c>
      <c r="H110">
        <v>1.8</v>
      </c>
      <c r="I110">
        <v>179.88541666666671</v>
      </c>
      <c r="J110">
        <v>2.2000000000000002</v>
      </c>
      <c r="K110">
        <v>66.55</v>
      </c>
      <c r="L110">
        <v>30220.75</v>
      </c>
      <c r="M110">
        <v>205994.25</v>
      </c>
      <c r="N110">
        <v>781.02499999999998</v>
      </c>
      <c r="O110">
        <v>5086.8250000000007</v>
      </c>
      <c r="P110">
        <v>0</v>
      </c>
      <c r="Q110">
        <v>7</v>
      </c>
    </row>
    <row r="111" spans="1:17" x14ac:dyDescent="0.25">
      <c r="A111" s="2">
        <v>45551</v>
      </c>
      <c r="B111">
        <v>3</v>
      </c>
      <c r="C111">
        <v>14.832738095238099</v>
      </c>
      <c r="D111">
        <v>6.9</v>
      </c>
      <c r="E111">
        <v>23.9</v>
      </c>
      <c r="F111">
        <v>76.46577380952381</v>
      </c>
      <c r="G111">
        <v>3.2357142857142862</v>
      </c>
      <c r="H111">
        <v>0.5</v>
      </c>
      <c r="I111">
        <v>180.8125</v>
      </c>
      <c r="J111">
        <v>0.25</v>
      </c>
      <c r="K111">
        <v>31.4</v>
      </c>
      <c r="L111">
        <v>30376.5</v>
      </c>
      <c r="M111">
        <v>219241.75</v>
      </c>
      <c r="N111">
        <v>811.9</v>
      </c>
      <c r="O111">
        <v>5268.2749999999996</v>
      </c>
      <c r="P111">
        <v>0</v>
      </c>
      <c r="Q111">
        <v>7</v>
      </c>
    </row>
    <row r="112" spans="1:17" x14ac:dyDescent="0.25">
      <c r="A112" s="2">
        <v>45558</v>
      </c>
      <c r="B112">
        <v>3</v>
      </c>
      <c r="C112">
        <v>13.618628912071539</v>
      </c>
      <c r="D112">
        <v>4.4000000000000004</v>
      </c>
      <c r="E112">
        <v>23</v>
      </c>
      <c r="F112">
        <v>83.01788375558867</v>
      </c>
      <c r="G112">
        <v>1.589120715350224</v>
      </c>
      <c r="H112">
        <v>8.4</v>
      </c>
      <c r="I112">
        <v>148.08047690014899</v>
      </c>
      <c r="J112">
        <v>17.45</v>
      </c>
      <c r="K112">
        <v>45.975000000000009</v>
      </c>
      <c r="L112">
        <v>24840.5</v>
      </c>
      <c r="M112">
        <v>228576.5</v>
      </c>
      <c r="N112">
        <v>607.02499999999998</v>
      </c>
      <c r="O112">
        <v>5123.3499999999995</v>
      </c>
      <c r="P112">
        <v>0</v>
      </c>
      <c r="Q112">
        <v>7</v>
      </c>
    </row>
    <row r="113" spans="1:17" x14ac:dyDescent="0.25">
      <c r="A113" s="2">
        <v>45565</v>
      </c>
      <c r="B113">
        <v>3</v>
      </c>
      <c r="C113">
        <v>13.949611197511659</v>
      </c>
      <c r="D113">
        <v>4.4000000000000004</v>
      </c>
      <c r="E113">
        <v>23.1</v>
      </c>
      <c r="F113">
        <v>84.435458786936238</v>
      </c>
      <c r="G113">
        <v>2.2982892690513221</v>
      </c>
      <c r="H113">
        <v>12.2</v>
      </c>
      <c r="I113">
        <v>181.11353032659409</v>
      </c>
      <c r="J113">
        <v>21.5</v>
      </c>
      <c r="K113">
        <v>49.174999999999997</v>
      </c>
      <c r="L113">
        <v>29114</v>
      </c>
      <c r="M113">
        <v>234015.75</v>
      </c>
      <c r="N113">
        <v>634.9</v>
      </c>
      <c r="O113">
        <v>5553.6500000000005</v>
      </c>
      <c r="P113">
        <v>0</v>
      </c>
      <c r="Q113">
        <v>7</v>
      </c>
    </row>
    <row r="114" spans="1:17" x14ac:dyDescent="0.25">
      <c r="A114" s="2">
        <v>45572</v>
      </c>
      <c r="B114">
        <v>3</v>
      </c>
      <c r="C114">
        <v>14.070789865871831</v>
      </c>
      <c r="D114">
        <v>3.8</v>
      </c>
      <c r="E114">
        <v>23.6</v>
      </c>
      <c r="F114">
        <v>80.953800298062589</v>
      </c>
      <c r="G114">
        <v>2.700298062593145</v>
      </c>
      <c r="H114">
        <v>32.299999999999997</v>
      </c>
      <c r="I114">
        <v>162.2295081967213</v>
      </c>
      <c r="J114">
        <v>34.524999999999999</v>
      </c>
      <c r="K114">
        <v>76.525000000000006</v>
      </c>
      <c r="L114">
        <v>27214</v>
      </c>
      <c r="M114">
        <v>235401</v>
      </c>
      <c r="N114">
        <v>682.875</v>
      </c>
      <c r="O114">
        <v>5569.6750000000002</v>
      </c>
      <c r="P114">
        <v>1</v>
      </c>
      <c r="Q114">
        <v>7</v>
      </c>
    </row>
    <row r="115" spans="1:17" x14ac:dyDescent="0.25">
      <c r="A115" s="2">
        <v>45579</v>
      </c>
      <c r="B115">
        <v>3</v>
      </c>
      <c r="C115">
        <v>14.75352323838081</v>
      </c>
      <c r="D115">
        <v>6.6</v>
      </c>
      <c r="E115">
        <v>24.7</v>
      </c>
      <c r="F115">
        <v>81.083958020989499</v>
      </c>
      <c r="G115">
        <v>2.3409295352323838</v>
      </c>
      <c r="H115">
        <v>6.3</v>
      </c>
      <c r="I115">
        <v>207.33133433283359</v>
      </c>
      <c r="J115">
        <v>7.6</v>
      </c>
      <c r="K115">
        <v>84.125</v>
      </c>
      <c r="L115">
        <v>34572.5</v>
      </c>
      <c r="M115">
        <v>244674</v>
      </c>
      <c r="N115">
        <v>792.65</v>
      </c>
      <c r="O115">
        <v>5783.0749999999998</v>
      </c>
      <c r="P115">
        <v>0</v>
      </c>
      <c r="Q115">
        <v>7</v>
      </c>
    </row>
    <row r="116" spans="1:17" x14ac:dyDescent="0.25">
      <c r="A116" s="2">
        <v>45586</v>
      </c>
      <c r="B116">
        <v>3</v>
      </c>
      <c r="C116">
        <v>14.773628048780489</v>
      </c>
      <c r="D116">
        <v>6.3</v>
      </c>
      <c r="E116">
        <v>24.9</v>
      </c>
      <c r="F116">
        <v>82.731707317073173</v>
      </c>
      <c r="G116">
        <v>2.5480182926829271</v>
      </c>
      <c r="H116">
        <v>18.5</v>
      </c>
      <c r="I116">
        <v>173.27286585365849</v>
      </c>
      <c r="J116">
        <v>39.975000000000001</v>
      </c>
      <c r="K116">
        <v>123.8</v>
      </c>
      <c r="L116">
        <v>28416.75</v>
      </c>
      <c r="M116">
        <v>249643.25</v>
      </c>
      <c r="N116">
        <v>782.875</v>
      </c>
      <c r="O116">
        <v>5916.0249999999996</v>
      </c>
      <c r="P116">
        <v>0</v>
      </c>
      <c r="Q116">
        <v>7</v>
      </c>
    </row>
    <row r="117" spans="1:17" x14ac:dyDescent="0.25">
      <c r="A117" s="2">
        <v>45593</v>
      </c>
      <c r="B117">
        <v>3</v>
      </c>
      <c r="C117">
        <v>14.83883928571429</v>
      </c>
      <c r="D117">
        <v>8.9</v>
      </c>
      <c r="E117">
        <v>22.9</v>
      </c>
      <c r="F117">
        <v>82.918154761904759</v>
      </c>
      <c r="G117">
        <v>2.2523809523809519</v>
      </c>
      <c r="H117">
        <v>8.9</v>
      </c>
      <c r="I117">
        <v>160.82886904761901</v>
      </c>
      <c r="J117">
        <v>18.074999999999999</v>
      </c>
      <c r="K117">
        <v>141.57499999999999</v>
      </c>
      <c r="L117">
        <v>27019.25</v>
      </c>
      <c r="M117">
        <v>247440.75</v>
      </c>
      <c r="N117">
        <v>812.92499999999995</v>
      </c>
      <c r="O117">
        <v>5906.1750000000002</v>
      </c>
      <c r="P117">
        <v>0</v>
      </c>
      <c r="Q117">
        <v>7</v>
      </c>
    </row>
    <row r="118" spans="1:17" x14ac:dyDescent="0.25">
      <c r="A118" s="2">
        <v>45600</v>
      </c>
      <c r="B118">
        <v>3</v>
      </c>
      <c r="C118">
        <v>14.142857142857141</v>
      </c>
      <c r="D118">
        <v>8.6</v>
      </c>
      <c r="E118">
        <v>23.6</v>
      </c>
      <c r="F118">
        <v>87.11904761904762</v>
      </c>
      <c r="G118">
        <v>1.641071428571429</v>
      </c>
      <c r="H118">
        <v>12.4</v>
      </c>
      <c r="I118">
        <v>138.7157738095238</v>
      </c>
      <c r="J118">
        <v>31.95</v>
      </c>
      <c r="K118">
        <v>171.625</v>
      </c>
      <c r="L118">
        <v>23304.25</v>
      </c>
      <c r="M118">
        <v>243422.75</v>
      </c>
      <c r="N118">
        <v>696</v>
      </c>
      <c r="O118">
        <v>5821.15</v>
      </c>
      <c r="P118">
        <v>0</v>
      </c>
      <c r="Q118">
        <v>7</v>
      </c>
    </row>
    <row r="119" spans="1:17" x14ac:dyDescent="0.25">
      <c r="A119" s="2">
        <v>45607</v>
      </c>
      <c r="B119">
        <v>3</v>
      </c>
      <c r="C119">
        <v>14.123695976154989</v>
      </c>
      <c r="D119">
        <v>9.6</v>
      </c>
      <c r="E119">
        <v>22.1</v>
      </c>
      <c r="F119">
        <v>87.852459016393439</v>
      </c>
      <c r="G119">
        <v>2.1912071535022348</v>
      </c>
      <c r="H119">
        <v>8.4</v>
      </c>
      <c r="I119">
        <v>125.9791356184799</v>
      </c>
      <c r="J119">
        <v>22.25</v>
      </c>
      <c r="K119">
        <v>193.57499999999999</v>
      </c>
      <c r="L119">
        <v>21133</v>
      </c>
      <c r="M119">
        <v>230291</v>
      </c>
      <c r="N119">
        <v>691.75</v>
      </c>
      <c r="O119">
        <v>5701</v>
      </c>
      <c r="P119">
        <v>0</v>
      </c>
      <c r="Q119">
        <v>7</v>
      </c>
    </row>
    <row r="120" spans="1:17" x14ac:dyDescent="0.25">
      <c r="A120" s="2">
        <v>45614</v>
      </c>
      <c r="B120">
        <v>3</v>
      </c>
      <c r="C120">
        <v>14.14910714285714</v>
      </c>
      <c r="D120">
        <v>7.6</v>
      </c>
      <c r="E120">
        <v>23</v>
      </c>
      <c r="F120">
        <v>86.851190476190482</v>
      </c>
      <c r="G120">
        <v>2.171130952380953</v>
      </c>
      <c r="H120">
        <v>25.4</v>
      </c>
      <c r="I120">
        <v>141.80208333333329</v>
      </c>
      <c r="J120">
        <v>73.2</v>
      </c>
      <c r="K120">
        <v>263.57499999999999</v>
      </c>
      <c r="L120">
        <v>23822.75</v>
      </c>
      <c r="M120">
        <v>226625.5</v>
      </c>
      <c r="N120">
        <v>697.05</v>
      </c>
      <c r="O120">
        <v>5791.0249999999996</v>
      </c>
      <c r="P120">
        <v>0</v>
      </c>
      <c r="Q120">
        <v>7</v>
      </c>
    </row>
    <row r="121" spans="1:17" x14ac:dyDescent="0.25">
      <c r="A121" s="2">
        <v>45621</v>
      </c>
      <c r="B121">
        <v>3</v>
      </c>
      <c r="C121">
        <v>13.337648809523809</v>
      </c>
      <c r="D121">
        <v>5.4</v>
      </c>
      <c r="E121">
        <v>23.8</v>
      </c>
      <c r="F121">
        <v>82.858630952380949</v>
      </c>
      <c r="G121">
        <v>2.1211309523809532</v>
      </c>
      <c r="H121">
        <v>5.6</v>
      </c>
      <c r="I121">
        <v>151.32440476190479</v>
      </c>
      <c r="J121">
        <v>7.3249999999999993</v>
      </c>
      <c r="K121">
        <v>235.72499999999999</v>
      </c>
      <c r="L121">
        <v>25422.5</v>
      </c>
      <c r="M121">
        <v>229358.75</v>
      </c>
      <c r="N121">
        <v>560.72500000000002</v>
      </c>
      <c r="O121">
        <v>5716.8499999999995</v>
      </c>
      <c r="P121">
        <v>0</v>
      </c>
      <c r="Q121">
        <v>7</v>
      </c>
    </row>
    <row r="122" spans="1:17" x14ac:dyDescent="0.25">
      <c r="A122" s="2">
        <v>45628</v>
      </c>
      <c r="B122">
        <v>3</v>
      </c>
      <c r="C122">
        <v>14.60224550898204</v>
      </c>
      <c r="D122">
        <v>6.8</v>
      </c>
      <c r="E122">
        <v>24.4</v>
      </c>
      <c r="F122">
        <v>84.371257485029943</v>
      </c>
      <c r="G122">
        <v>2.407934131736527</v>
      </c>
      <c r="H122">
        <v>0.8</v>
      </c>
      <c r="I122">
        <v>198.30538922155691</v>
      </c>
      <c r="J122">
        <v>1.4</v>
      </c>
      <c r="K122">
        <v>201.77500000000001</v>
      </c>
      <c r="L122">
        <v>33117</v>
      </c>
      <c r="M122">
        <v>232555.5</v>
      </c>
      <c r="N122">
        <v>768.57500000000005</v>
      </c>
      <c r="O122">
        <v>5802.5499999999993</v>
      </c>
      <c r="P122">
        <v>0</v>
      </c>
      <c r="Q122">
        <v>7</v>
      </c>
    </row>
    <row r="123" spans="1:17" x14ac:dyDescent="0.25">
      <c r="A123" s="2">
        <v>45635</v>
      </c>
      <c r="B123">
        <v>3</v>
      </c>
      <c r="C123">
        <v>13.212667660208639</v>
      </c>
      <c r="D123">
        <v>4.0999999999999996</v>
      </c>
      <c r="E123">
        <v>23.7</v>
      </c>
      <c r="F123">
        <v>82.177347242921016</v>
      </c>
      <c r="G123">
        <v>2.0171385991058122</v>
      </c>
      <c r="H123">
        <v>0</v>
      </c>
      <c r="I123">
        <v>177.12071535022349</v>
      </c>
      <c r="J123">
        <v>0</v>
      </c>
      <c r="K123">
        <v>195.52500000000001</v>
      </c>
      <c r="L123">
        <v>29712</v>
      </c>
      <c r="M123">
        <v>233396</v>
      </c>
      <c r="N123">
        <v>538.92499999999995</v>
      </c>
      <c r="O123">
        <v>5548.8249999999998</v>
      </c>
      <c r="P123">
        <v>0</v>
      </c>
      <c r="Q123">
        <v>7</v>
      </c>
    </row>
    <row r="124" spans="1:17" x14ac:dyDescent="0.25">
      <c r="A124" s="2">
        <v>45642</v>
      </c>
      <c r="B124">
        <v>3</v>
      </c>
      <c r="C124">
        <v>13.4453869047619</v>
      </c>
      <c r="D124">
        <v>5.0999999999999996</v>
      </c>
      <c r="E124">
        <v>23.3</v>
      </c>
      <c r="F124">
        <v>82.782738095238102</v>
      </c>
      <c r="G124">
        <v>2.065773809523809</v>
      </c>
      <c r="H124">
        <v>7.4</v>
      </c>
      <c r="I124">
        <v>151.42559523809521</v>
      </c>
      <c r="J124">
        <v>8.25</v>
      </c>
      <c r="K124">
        <v>181.5</v>
      </c>
      <c r="L124">
        <v>25439.5</v>
      </c>
      <c r="M124">
        <v>225577</v>
      </c>
      <c r="N124">
        <v>578.82500000000005</v>
      </c>
      <c r="O124">
        <v>5344.7749999999996</v>
      </c>
      <c r="P124">
        <v>0</v>
      </c>
      <c r="Q124">
        <v>7</v>
      </c>
    </row>
    <row r="125" spans="1:17" x14ac:dyDescent="0.25">
      <c r="A125" s="2">
        <v>45649</v>
      </c>
      <c r="B125">
        <v>3</v>
      </c>
      <c r="C125">
        <v>14.43333333333333</v>
      </c>
      <c r="D125">
        <v>6.3</v>
      </c>
      <c r="E125">
        <v>24.2</v>
      </c>
      <c r="F125">
        <v>85.93452380952381</v>
      </c>
      <c r="G125">
        <v>1.7639880952380951</v>
      </c>
      <c r="H125">
        <v>9.4</v>
      </c>
      <c r="I125">
        <v>155.33928571428569</v>
      </c>
      <c r="J125">
        <v>10.425000000000001</v>
      </c>
      <c r="K125">
        <v>171.42500000000001</v>
      </c>
      <c r="L125">
        <v>26097</v>
      </c>
      <c r="M125">
        <v>224938</v>
      </c>
      <c r="N125">
        <v>744.80000000000007</v>
      </c>
      <c r="O125">
        <v>5276.65</v>
      </c>
      <c r="P125">
        <v>0</v>
      </c>
      <c r="Q125">
        <v>7</v>
      </c>
    </row>
    <row r="126" spans="1:17" x14ac:dyDescent="0.25">
      <c r="A126" s="2">
        <v>45656</v>
      </c>
      <c r="B126">
        <v>3</v>
      </c>
      <c r="C126">
        <v>13.58036253776435</v>
      </c>
      <c r="D126">
        <v>6.6</v>
      </c>
      <c r="E126">
        <v>22.8</v>
      </c>
      <c r="F126">
        <v>86.858006042296068</v>
      </c>
      <c r="G126">
        <v>1.678851963746224</v>
      </c>
      <c r="H126">
        <v>6.6</v>
      </c>
      <c r="I126">
        <v>154.80211480362539</v>
      </c>
      <c r="J126">
        <v>13.3</v>
      </c>
      <c r="K126">
        <v>152.9</v>
      </c>
      <c r="L126">
        <v>25619.75</v>
      </c>
      <c r="M126">
        <v>222317.5</v>
      </c>
      <c r="N126">
        <v>592.54999999999995</v>
      </c>
      <c r="O126">
        <v>5173.2</v>
      </c>
      <c r="P126">
        <v>0</v>
      </c>
      <c r="Q126">
        <v>7</v>
      </c>
    </row>
    <row r="127" spans="1:17" x14ac:dyDescent="0.25">
      <c r="A127" s="2">
        <v>45663</v>
      </c>
      <c r="B127">
        <v>3</v>
      </c>
      <c r="C127">
        <v>14.10580357142857</v>
      </c>
      <c r="D127">
        <v>3.3</v>
      </c>
      <c r="E127">
        <v>23.9</v>
      </c>
      <c r="F127">
        <v>83.44047619047619</v>
      </c>
      <c r="G127">
        <v>2.1497023809523812</v>
      </c>
      <c r="H127">
        <v>0</v>
      </c>
      <c r="I127">
        <v>189.72470238095241</v>
      </c>
      <c r="J127">
        <v>0</v>
      </c>
      <c r="K127">
        <v>133.69999999999999</v>
      </c>
      <c r="L127">
        <v>31873.75</v>
      </c>
      <c r="M127">
        <v>233778.5</v>
      </c>
      <c r="N127">
        <v>689.77499999999998</v>
      </c>
      <c r="O127">
        <v>5171.2249999999995</v>
      </c>
      <c r="P127">
        <v>1</v>
      </c>
      <c r="Q127">
        <v>7</v>
      </c>
    </row>
    <row r="128" spans="1:17" x14ac:dyDescent="0.25">
      <c r="A128" s="2">
        <v>45670</v>
      </c>
      <c r="B128">
        <v>3</v>
      </c>
      <c r="C128">
        <v>12.91696428571429</v>
      </c>
      <c r="D128">
        <v>1.9</v>
      </c>
      <c r="E128">
        <v>23.9</v>
      </c>
      <c r="F128">
        <v>80.738095238095241</v>
      </c>
      <c r="G128">
        <v>2.418452380952381</v>
      </c>
      <c r="H128">
        <v>0</v>
      </c>
      <c r="I128">
        <v>241.03125</v>
      </c>
      <c r="J128">
        <v>0</v>
      </c>
      <c r="K128">
        <v>75.774999999999991</v>
      </c>
      <c r="L128">
        <v>40493.25</v>
      </c>
      <c r="M128">
        <v>248792.75</v>
      </c>
      <c r="N128">
        <v>490.05</v>
      </c>
      <c r="O128">
        <v>4964.2249999999995</v>
      </c>
      <c r="P128">
        <v>3</v>
      </c>
      <c r="Q128">
        <v>7</v>
      </c>
    </row>
    <row r="129" spans="1:17" x14ac:dyDescent="0.25">
      <c r="A129" s="2">
        <v>45677</v>
      </c>
      <c r="B129">
        <v>3</v>
      </c>
      <c r="C129">
        <v>12.77738095238095</v>
      </c>
      <c r="D129">
        <v>1.7</v>
      </c>
      <c r="E129">
        <v>23.8</v>
      </c>
      <c r="F129">
        <v>77.242559523809518</v>
      </c>
      <c r="G129">
        <v>2.4839285714285722</v>
      </c>
      <c r="H129">
        <v>0</v>
      </c>
      <c r="I129">
        <v>193.33779761904759</v>
      </c>
      <c r="J129">
        <v>0</v>
      </c>
      <c r="K129">
        <v>33.375</v>
      </c>
      <c r="L129">
        <v>32480.75</v>
      </c>
      <c r="M129">
        <v>257347</v>
      </c>
      <c r="N129">
        <v>466.6</v>
      </c>
      <c r="O129">
        <v>4870.1000000000004</v>
      </c>
      <c r="P129">
        <v>3</v>
      </c>
      <c r="Q129">
        <v>7</v>
      </c>
    </row>
    <row r="130" spans="1:17" x14ac:dyDescent="0.25">
      <c r="A130" s="2">
        <v>45684</v>
      </c>
      <c r="B130">
        <v>3</v>
      </c>
      <c r="C130">
        <v>13.64747023809524</v>
      </c>
      <c r="D130">
        <v>5.9</v>
      </c>
      <c r="E130">
        <v>24.3</v>
      </c>
      <c r="F130">
        <v>80.50595238095238</v>
      </c>
      <c r="G130">
        <v>2.8431547619047621</v>
      </c>
      <c r="H130">
        <v>0</v>
      </c>
      <c r="I130">
        <v>158.16666666666671</v>
      </c>
      <c r="J130">
        <v>0</v>
      </c>
      <c r="K130">
        <v>32.275000000000013</v>
      </c>
      <c r="L130">
        <v>26572</v>
      </c>
      <c r="M130">
        <v>258656.75</v>
      </c>
      <c r="N130">
        <v>612.77499999999998</v>
      </c>
      <c r="O130">
        <v>4714.3</v>
      </c>
      <c r="P130">
        <v>0</v>
      </c>
      <c r="Q130">
        <v>7</v>
      </c>
    </row>
    <row r="131" spans="1:17" x14ac:dyDescent="0.25">
      <c r="A131" s="2">
        <v>45691</v>
      </c>
      <c r="B131">
        <v>3</v>
      </c>
      <c r="C131">
        <v>14.72395209580838</v>
      </c>
      <c r="D131">
        <v>6.6</v>
      </c>
      <c r="E131">
        <v>23.2</v>
      </c>
      <c r="F131">
        <v>85.508982035928142</v>
      </c>
      <c r="G131">
        <v>2.667964071856288</v>
      </c>
      <c r="H131">
        <v>18.8</v>
      </c>
      <c r="I131">
        <v>162.10029940119759</v>
      </c>
      <c r="J131">
        <v>27.625</v>
      </c>
      <c r="K131">
        <v>59.6</v>
      </c>
      <c r="L131">
        <v>27070.75</v>
      </c>
      <c r="M131">
        <v>253534</v>
      </c>
      <c r="N131">
        <v>788.9</v>
      </c>
      <c r="O131">
        <v>4964.2750000000005</v>
      </c>
      <c r="P131">
        <v>0</v>
      </c>
      <c r="Q131">
        <v>7</v>
      </c>
    </row>
    <row r="132" spans="1:17" x14ac:dyDescent="0.25">
      <c r="A132" s="2">
        <v>45698</v>
      </c>
      <c r="B132">
        <v>3</v>
      </c>
      <c r="C132">
        <v>13.95692995529061</v>
      </c>
      <c r="D132">
        <v>6.6</v>
      </c>
      <c r="E132">
        <v>21.2</v>
      </c>
      <c r="F132">
        <v>88.482861400894194</v>
      </c>
      <c r="G132">
        <v>1.992846497764531</v>
      </c>
      <c r="H132">
        <v>39.6</v>
      </c>
      <c r="I132">
        <v>142.4560357675112</v>
      </c>
      <c r="J132">
        <v>45.575000000000003</v>
      </c>
      <c r="K132">
        <v>105.175</v>
      </c>
      <c r="L132">
        <v>23897</v>
      </c>
      <c r="M132">
        <v>249354.25</v>
      </c>
      <c r="N132">
        <v>663.77499999999998</v>
      </c>
      <c r="O132">
        <v>5049.2250000000004</v>
      </c>
      <c r="P132">
        <v>0</v>
      </c>
      <c r="Q132">
        <v>7</v>
      </c>
    </row>
    <row r="133" spans="1:17" x14ac:dyDescent="0.25">
      <c r="A133" s="2">
        <v>45705</v>
      </c>
      <c r="B133">
        <v>3</v>
      </c>
      <c r="C133">
        <v>14.32891207153502</v>
      </c>
      <c r="D133">
        <v>7.7</v>
      </c>
      <c r="E133">
        <v>22.2</v>
      </c>
      <c r="F133">
        <v>86.418777943368113</v>
      </c>
      <c r="G133">
        <v>1.9514157973174371</v>
      </c>
      <c r="H133">
        <v>7.9</v>
      </c>
      <c r="I133">
        <v>141.3651266766021</v>
      </c>
      <c r="J133">
        <v>17.05</v>
      </c>
      <c r="K133">
        <v>113.97499999999999</v>
      </c>
      <c r="L133">
        <v>23714</v>
      </c>
      <c r="M133">
        <v>246527.75</v>
      </c>
      <c r="N133">
        <v>726.17499999999995</v>
      </c>
      <c r="O133">
        <v>5030.6000000000004</v>
      </c>
      <c r="P133">
        <v>0</v>
      </c>
      <c r="Q133">
        <v>7</v>
      </c>
    </row>
    <row r="134" spans="1:17" x14ac:dyDescent="0.25">
      <c r="A134" s="2">
        <v>45712</v>
      </c>
      <c r="B134">
        <v>3</v>
      </c>
      <c r="C134">
        <v>15.094494047619049</v>
      </c>
      <c r="D134">
        <v>9.3000000000000007</v>
      </c>
      <c r="E134">
        <v>23.3</v>
      </c>
      <c r="F134">
        <v>85.651785714285708</v>
      </c>
      <c r="G134">
        <v>2.164880952380952</v>
      </c>
      <c r="H134">
        <v>0.3</v>
      </c>
      <c r="I134">
        <v>157.14732142857139</v>
      </c>
      <c r="J134">
        <v>0.3</v>
      </c>
      <c r="K134">
        <v>99.7</v>
      </c>
      <c r="L134">
        <v>26400.75</v>
      </c>
      <c r="M134">
        <v>244405.75</v>
      </c>
      <c r="N134">
        <v>855.875</v>
      </c>
      <c r="O134">
        <v>5293.9250000000002</v>
      </c>
      <c r="P134">
        <v>0</v>
      </c>
      <c r="Q134">
        <v>7</v>
      </c>
    </row>
    <row r="135" spans="1:17" x14ac:dyDescent="0.25">
      <c r="A135" s="2">
        <v>45719</v>
      </c>
      <c r="B135">
        <v>3</v>
      </c>
      <c r="C135">
        <v>13.826190476190479</v>
      </c>
      <c r="D135">
        <v>7.6</v>
      </c>
      <c r="E135">
        <v>23.1</v>
      </c>
      <c r="F135">
        <v>89.080357142857139</v>
      </c>
      <c r="G135">
        <v>1.7154761904761899</v>
      </c>
      <c r="H135">
        <v>17.3</v>
      </c>
      <c r="I135">
        <v>143.58333333333329</v>
      </c>
      <c r="J135">
        <v>34</v>
      </c>
      <c r="K135">
        <v>124.55</v>
      </c>
      <c r="L135">
        <v>24122</v>
      </c>
      <c r="M135">
        <v>244978.5</v>
      </c>
      <c r="N135">
        <v>642.79999999999995</v>
      </c>
      <c r="O135">
        <v>5246.9500000000007</v>
      </c>
      <c r="P135">
        <v>0</v>
      </c>
      <c r="Q135">
        <v>7</v>
      </c>
    </row>
    <row r="136" spans="1:17" x14ac:dyDescent="0.25">
      <c r="A136" s="2">
        <v>45726</v>
      </c>
      <c r="B136">
        <v>3</v>
      </c>
      <c r="C136">
        <v>14.306259314456041</v>
      </c>
      <c r="D136">
        <v>7.2</v>
      </c>
      <c r="E136">
        <v>23.1</v>
      </c>
      <c r="F136">
        <v>87.046199701937411</v>
      </c>
      <c r="G136">
        <v>2.095827123695976</v>
      </c>
      <c r="H136">
        <v>15.7</v>
      </c>
      <c r="I136">
        <v>160.47839046199701</v>
      </c>
      <c r="J136">
        <v>27.8</v>
      </c>
      <c r="K136">
        <v>152.35</v>
      </c>
      <c r="L136">
        <v>26920.25</v>
      </c>
      <c r="M136">
        <v>234397.75</v>
      </c>
      <c r="N136">
        <v>722.375</v>
      </c>
      <c r="O136">
        <v>5479.2749999999996</v>
      </c>
      <c r="P136">
        <v>0</v>
      </c>
      <c r="Q136">
        <v>7</v>
      </c>
    </row>
    <row r="137" spans="1:17" x14ac:dyDescent="0.25">
      <c r="A137" s="2">
        <v>45733</v>
      </c>
      <c r="B137">
        <v>3</v>
      </c>
      <c r="C137">
        <v>13.97549167927383</v>
      </c>
      <c r="D137">
        <v>7.6</v>
      </c>
      <c r="E137">
        <v>22.4</v>
      </c>
      <c r="F137">
        <v>86.555219364599097</v>
      </c>
      <c r="G137">
        <v>2.4881996974281391</v>
      </c>
      <c r="H137">
        <v>35.799999999999997</v>
      </c>
      <c r="I137">
        <v>132.7049924357035</v>
      </c>
      <c r="J137">
        <v>20.425000000000001</v>
      </c>
      <c r="K137">
        <v>172.77500000000001</v>
      </c>
      <c r="L137">
        <v>21929.5</v>
      </c>
      <c r="M137">
        <v>215230.5</v>
      </c>
      <c r="N137">
        <v>656.95</v>
      </c>
      <c r="O137">
        <v>5669.625</v>
      </c>
      <c r="P137">
        <v>0</v>
      </c>
      <c r="Q137">
        <v>7</v>
      </c>
    </row>
    <row r="138" spans="1:17" x14ac:dyDescent="0.25">
      <c r="A138" s="2">
        <v>45740</v>
      </c>
      <c r="B138">
        <v>3</v>
      </c>
      <c r="C138">
        <v>14.120386904761901</v>
      </c>
      <c r="D138">
        <v>3.6</v>
      </c>
      <c r="E138">
        <v>23.4</v>
      </c>
      <c r="F138">
        <v>84.772321428571431</v>
      </c>
      <c r="G138">
        <v>2.2034226190476192</v>
      </c>
      <c r="H138">
        <v>13.2</v>
      </c>
      <c r="I138">
        <v>180.29613095238099</v>
      </c>
      <c r="J138">
        <v>19.45</v>
      </c>
      <c r="K138">
        <v>192.22499999999999</v>
      </c>
      <c r="L138">
        <v>30289.75</v>
      </c>
      <c r="M138">
        <v>219249</v>
      </c>
      <c r="N138">
        <v>692.22500000000002</v>
      </c>
      <c r="O138">
        <v>5749.0749999999998</v>
      </c>
      <c r="P138">
        <v>1</v>
      </c>
      <c r="Q138">
        <v>7</v>
      </c>
    </row>
    <row r="139" spans="1:17" x14ac:dyDescent="0.25">
      <c r="A139" s="2">
        <v>45747</v>
      </c>
      <c r="B139">
        <v>3</v>
      </c>
      <c r="C139">
        <v>14.47754172989378</v>
      </c>
      <c r="D139">
        <v>8.8000000000000007</v>
      </c>
      <c r="E139">
        <v>23.1</v>
      </c>
      <c r="F139">
        <v>86.887708649468891</v>
      </c>
      <c r="G139">
        <v>2.1308042488619119</v>
      </c>
      <c r="H139">
        <v>19.8</v>
      </c>
      <c r="I139">
        <v>145.2276176024279</v>
      </c>
      <c r="J139">
        <v>27.9</v>
      </c>
      <c r="K139">
        <v>200.5</v>
      </c>
      <c r="L139">
        <v>23926.25</v>
      </c>
      <c r="M139">
        <v>216277.5</v>
      </c>
      <c r="N139">
        <v>737.67499999999995</v>
      </c>
      <c r="O139">
        <v>5697.8499999999995</v>
      </c>
      <c r="P139">
        <v>0</v>
      </c>
      <c r="Q139">
        <v>7</v>
      </c>
    </row>
    <row r="140" spans="1:17" x14ac:dyDescent="0.25">
      <c r="A140" s="2">
        <v>45754</v>
      </c>
      <c r="B140">
        <v>3</v>
      </c>
      <c r="C140">
        <v>14.11281669150522</v>
      </c>
      <c r="D140">
        <v>5.8</v>
      </c>
      <c r="E140">
        <v>24.5</v>
      </c>
      <c r="F140">
        <v>88.409836065573771</v>
      </c>
      <c r="G140">
        <v>1.8327868852459011</v>
      </c>
      <c r="H140">
        <v>15.5</v>
      </c>
      <c r="I140">
        <v>161.35916542473919</v>
      </c>
      <c r="J140">
        <v>32</v>
      </c>
      <c r="K140">
        <v>192.97499999999999</v>
      </c>
      <c r="L140">
        <v>27068</v>
      </c>
      <c r="M140">
        <v>219416</v>
      </c>
      <c r="N140">
        <v>689.92499999999995</v>
      </c>
      <c r="O140">
        <v>5724</v>
      </c>
      <c r="P140">
        <v>0</v>
      </c>
      <c r="Q140">
        <v>7</v>
      </c>
    </row>
    <row r="141" spans="1:17" x14ac:dyDescent="0.25">
      <c r="A141" s="2">
        <v>45761</v>
      </c>
      <c r="B141">
        <v>3</v>
      </c>
      <c r="C141">
        <v>14.8451564828614</v>
      </c>
      <c r="D141">
        <v>5.6</v>
      </c>
      <c r="E141">
        <v>24.2</v>
      </c>
      <c r="F141">
        <v>82.567809239940388</v>
      </c>
      <c r="G141">
        <v>1.918181818181818</v>
      </c>
      <c r="H141">
        <v>1.8</v>
      </c>
      <c r="I141">
        <v>185.71087928464979</v>
      </c>
      <c r="J141">
        <v>3.0750000000000002</v>
      </c>
      <c r="K141">
        <v>173.7</v>
      </c>
      <c r="L141">
        <v>31153</v>
      </c>
      <c r="M141">
        <v>223889</v>
      </c>
      <c r="N141">
        <v>812.77499999999998</v>
      </c>
      <c r="O141">
        <v>5810.5999999999995</v>
      </c>
      <c r="P141">
        <v>0</v>
      </c>
      <c r="Q141">
        <v>7</v>
      </c>
    </row>
    <row r="142" spans="1:17" x14ac:dyDescent="0.25">
      <c r="A142" s="2">
        <v>45768</v>
      </c>
      <c r="B142">
        <v>3</v>
      </c>
      <c r="C142">
        <v>14.288541666666671</v>
      </c>
      <c r="D142">
        <v>8.3000000000000007</v>
      </c>
      <c r="E142">
        <v>22.1</v>
      </c>
      <c r="F142">
        <v>89.177083333333329</v>
      </c>
      <c r="G142">
        <v>1.554613095238095</v>
      </c>
      <c r="H142">
        <v>31.2</v>
      </c>
      <c r="I142">
        <v>144.23958333333329</v>
      </c>
      <c r="J142">
        <v>105.97499999999999</v>
      </c>
      <c r="K142">
        <v>270.92500000000001</v>
      </c>
      <c r="L142">
        <v>24232.25</v>
      </c>
      <c r="M142">
        <v>226655.25</v>
      </c>
      <c r="N142">
        <v>720.47500000000002</v>
      </c>
      <c r="O142">
        <v>5675.2</v>
      </c>
      <c r="P142">
        <v>0</v>
      </c>
      <c r="Q142">
        <v>7</v>
      </c>
    </row>
    <row r="143" spans="1:17" x14ac:dyDescent="0.25">
      <c r="A143" s="2">
        <v>45775</v>
      </c>
      <c r="B143">
        <v>3</v>
      </c>
      <c r="C143">
        <v>14.424096385542169</v>
      </c>
      <c r="D143">
        <v>7.4</v>
      </c>
      <c r="E143">
        <v>22.6</v>
      </c>
      <c r="F143">
        <v>87.141566265060234</v>
      </c>
      <c r="G143">
        <v>2.207680722891566</v>
      </c>
      <c r="H143">
        <v>13.5</v>
      </c>
      <c r="I143">
        <v>153.95030120481931</v>
      </c>
      <c r="J143">
        <v>29.074999999999999</v>
      </c>
      <c r="K143">
        <v>296.27499999999998</v>
      </c>
      <c r="L143">
        <v>25555.75</v>
      </c>
      <c r="M143">
        <v>226239</v>
      </c>
      <c r="N143">
        <v>734.4</v>
      </c>
      <c r="O143">
        <v>5766.7999999999993</v>
      </c>
      <c r="P143">
        <v>0</v>
      </c>
      <c r="Q143">
        <v>7</v>
      </c>
    </row>
    <row r="144" spans="1:17" x14ac:dyDescent="0.25">
      <c r="A144" s="2">
        <v>45782</v>
      </c>
      <c r="B144">
        <v>3</v>
      </c>
      <c r="C144">
        <v>13.85126984126984</v>
      </c>
      <c r="D144">
        <v>8.3000000000000007</v>
      </c>
      <c r="E144">
        <v>22.4</v>
      </c>
      <c r="F144">
        <v>86.93174603174603</v>
      </c>
      <c r="G144">
        <v>2.1963492063492058</v>
      </c>
      <c r="H144">
        <v>11.7</v>
      </c>
      <c r="I144">
        <v>131.57936507936509</v>
      </c>
      <c r="J144">
        <v>16.75</v>
      </c>
      <c r="K144">
        <v>262.2</v>
      </c>
      <c r="L144">
        <v>20723.75</v>
      </c>
      <c r="M144">
        <v>219645.25</v>
      </c>
      <c r="N144">
        <v>606.57500000000005</v>
      </c>
      <c r="O144">
        <v>5651</v>
      </c>
      <c r="P144">
        <v>0</v>
      </c>
      <c r="Q144">
        <v>7</v>
      </c>
    </row>
    <row r="145" spans="1:17" x14ac:dyDescent="0.25">
      <c r="A145" s="2">
        <v>45789</v>
      </c>
      <c r="B145">
        <v>3</v>
      </c>
      <c r="C145">
        <v>14.530126182965301</v>
      </c>
      <c r="D145">
        <v>8.9</v>
      </c>
      <c r="E145">
        <v>22</v>
      </c>
      <c r="F145">
        <v>87.463722397476346</v>
      </c>
      <c r="G145">
        <v>1.8291798107255519</v>
      </c>
      <c r="H145">
        <v>8.1</v>
      </c>
      <c r="I145">
        <v>120.1971608832808</v>
      </c>
      <c r="J145">
        <v>15.574999999999999</v>
      </c>
      <c r="K145">
        <v>249.8</v>
      </c>
      <c r="L145">
        <v>19051.25</v>
      </c>
      <c r="M145">
        <v>214879</v>
      </c>
      <c r="N145">
        <v>718.02499999999998</v>
      </c>
      <c r="O145">
        <v>5712.0749999999998</v>
      </c>
      <c r="P145">
        <v>0</v>
      </c>
      <c r="Q145">
        <v>7</v>
      </c>
    </row>
    <row r="146" spans="1:17" x14ac:dyDescent="0.25">
      <c r="A146" s="2">
        <v>45796</v>
      </c>
      <c r="B146">
        <v>3</v>
      </c>
      <c r="C146">
        <v>14.407401812688819</v>
      </c>
      <c r="D146">
        <v>7.7</v>
      </c>
      <c r="E146">
        <v>21.9</v>
      </c>
      <c r="F146">
        <v>85.922960725075527</v>
      </c>
      <c r="G146">
        <v>2.2040785498489428</v>
      </c>
      <c r="H146">
        <v>7.4</v>
      </c>
      <c r="I146">
        <v>134.00755287009059</v>
      </c>
      <c r="J146">
        <v>16.774999999999999</v>
      </c>
      <c r="K146">
        <v>266.27499999999998</v>
      </c>
      <c r="L146">
        <v>22178.25</v>
      </c>
      <c r="M146">
        <v>209000.5</v>
      </c>
      <c r="N146">
        <v>729.42499999999995</v>
      </c>
      <c r="O146">
        <v>5749.2750000000005</v>
      </c>
      <c r="P146">
        <v>0</v>
      </c>
      <c r="Q146">
        <v>7</v>
      </c>
    </row>
    <row r="147" spans="1:17" x14ac:dyDescent="0.25">
      <c r="A147" s="2">
        <v>45803</v>
      </c>
      <c r="B147">
        <v>3</v>
      </c>
      <c r="C147">
        <v>14.263988095238091</v>
      </c>
      <c r="D147">
        <v>9.3000000000000007</v>
      </c>
      <c r="E147">
        <v>22.1</v>
      </c>
      <c r="F147">
        <v>85.595238095238102</v>
      </c>
      <c r="G147">
        <v>2.0837797619047622</v>
      </c>
      <c r="H147">
        <v>3.3</v>
      </c>
      <c r="I147">
        <v>129.9672619047619</v>
      </c>
      <c r="J147">
        <v>7.8250000000000002</v>
      </c>
      <c r="K147">
        <v>252.05</v>
      </c>
      <c r="L147">
        <v>21834.5</v>
      </c>
      <c r="M147">
        <v>207548.5</v>
      </c>
      <c r="N147">
        <v>716.35</v>
      </c>
      <c r="O147">
        <v>5727.95</v>
      </c>
      <c r="P147">
        <v>0</v>
      </c>
      <c r="Q147">
        <v>7</v>
      </c>
    </row>
    <row r="148" spans="1:17" x14ac:dyDescent="0.25">
      <c r="A148" s="2">
        <v>45810</v>
      </c>
      <c r="B148">
        <v>3</v>
      </c>
      <c r="C148">
        <v>13.80642750373692</v>
      </c>
      <c r="D148">
        <v>7.1</v>
      </c>
      <c r="E148">
        <v>21.4</v>
      </c>
      <c r="F148">
        <v>85.482810164424521</v>
      </c>
      <c r="G148">
        <v>2.2405082212257099</v>
      </c>
      <c r="H148">
        <v>6.9</v>
      </c>
      <c r="I148">
        <v>136.56801195814651</v>
      </c>
      <c r="J148">
        <v>7.6499999999999986</v>
      </c>
      <c r="K148">
        <v>214.35</v>
      </c>
      <c r="L148">
        <v>22841</v>
      </c>
      <c r="M148">
        <v>205393.5</v>
      </c>
      <c r="N148">
        <v>636.625</v>
      </c>
      <c r="O148">
        <v>5674.65</v>
      </c>
      <c r="P148">
        <v>0</v>
      </c>
      <c r="Q148">
        <v>7</v>
      </c>
    </row>
    <row r="149" spans="1:17" x14ac:dyDescent="0.25">
      <c r="A149" s="2">
        <v>45817</v>
      </c>
      <c r="B149">
        <v>3</v>
      </c>
      <c r="C149">
        <v>14.00089418777943</v>
      </c>
      <c r="D149">
        <v>7.9</v>
      </c>
      <c r="E149">
        <v>22.9</v>
      </c>
      <c r="F149">
        <v>88.117734724292106</v>
      </c>
      <c r="G149">
        <v>2.1408345752608051</v>
      </c>
      <c r="H149">
        <v>12.2</v>
      </c>
      <c r="I149">
        <v>136.53055141579731</v>
      </c>
      <c r="J149">
        <v>35.700000000000003</v>
      </c>
      <c r="K149">
        <v>238.4</v>
      </c>
      <c r="L149">
        <v>22903</v>
      </c>
      <c r="M149">
        <v>195748.5</v>
      </c>
      <c r="N149">
        <v>671.15</v>
      </c>
      <c r="O149">
        <v>5533.0250000000005</v>
      </c>
      <c r="P149">
        <v>0</v>
      </c>
      <c r="Q149">
        <v>7</v>
      </c>
    </row>
    <row r="150" spans="1:17" x14ac:dyDescent="0.25">
      <c r="A150" s="2">
        <v>45824</v>
      </c>
      <c r="B150">
        <v>3</v>
      </c>
      <c r="C150">
        <v>13.801044776119401</v>
      </c>
      <c r="D150">
        <v>5.7</v>
      </c>
      <c r="E150">
        <v>21.3</v>
      </c>
      <c r="F150">
        <v>84.849253731343282</v>
      </c>
      <c r="G150">
        <v>2.272388059701492</v>
      </c>
      <c r="H150">
        <v>11.4</v>
      </c>
      <c r="I150">
        <v>136.64626865671639</v>
      </c>
      <c r="J150">
        <v>14.35</v>
      </c>
      <c r="K150">
        <v>218.15</v>
      </c>
      <c r="L150">
        <v>22888.25</v>
      </c>
      <c r="M150">
        <v>190338.75</v>
      </c>
      <c r="N150">
        <v>636.67499999999995</v>
      </c>
      <c r="O150">
        <v>5449.2249999999995</v>
      </c>
      <c r="P150">
        <v>0</v>
      </c>
      <c r="Q150">
        <v>7</v>
      </c>
    </row>
    <row r="151" spans="1:17" x14ac:dyDescent="0.25">
      <c r="A151" s="2">
        <v>45831</v>
      </c>
      <c r="B151">
        <v>3</v>
      </c>
      <c r="C151">
        <v>13.836458333333329</v>
      </c>
      <c r="D151">
        <v>6.3</v>
      </c>
      <c r="E151">
        <v>21.3</v>
      </c>
      <c r="F151">
        <v>85.007440476190482</v>
      </c>
      <c r="G151">
        <v>2.1690476190476189</v>
      </c>
      <c r="H151">
        <v>6.6</v>
      </c>
      <c r="I151">
        <v>142.3467261904762</v>
      </c>
      <c r="J151">
        <v>20</v>
      </c>
      <c r="K151">
        <v>157.35</v>
      </c>
      <c r="L151">
        <v>23914.25</v>
      </c>
      <c r="M151">
        <v>190059.25</v>
      </c>
      <c r="N151">
        <v>644.52499999999998</v>
      </c>
      <c r="O151">
        <v>5359.35</v>
      </c>
      <c r="P151">
        <v>0</v>
      </c>
      <c r="Q151">
        <v>7</v>
      </c>
    </row>
    <row r="152" spans="1:17" x14ac:dyDescent="0.25">
      <c r="A152" s="2">
        <v>45838</v>
      </c>
      <c r="B152">
        <v>3</v>
      </c>
      <c r="C152">
        <v>13.14092261904762</v>
      </c>
      <c r="D152">
        <v>7.2</v>
      </c>
      <c r="E152">
        <v>19.7</v>
      </c>
      <c r="F152">
        <v>85.702380952380949</v>
      </c>
      <c r="G152">
        <v>1.8531249999999999</v>
      </c>
      <c r="H152">
        <v>7.4</v>
      </c>
      <c r="I152">
        <v>120.3526785714286</v>
      </c>
      <c r="J152">
        <v>10.95</v>
      </c>
      <c r="K152">
        <v>140.55000000000001</v>
      </c>
      <c r="L152">
        <v>20219.25</v>
      </c>
      <c r="M152">
        <v>188256</v>
      </c>
      <c r="N152">
        <v>527.67499999999995</v>
      </c>
      <c r="O152">
        <v>5280.4499999999989</v>
      </c>
      <c r="P152">
        <v>0</v>
      </c>
      <c r="Q152">
        <v>7</v>
      </c>
    </row>
    <row r="153" spans="1:17" x14ac:dyDescent="0.25">
      <c r="A153" s="2">
        <v>45845</v>
      </c>
      <c r="B153">
        <v>3</v>
      </c>
      <c r="C153">
        <v>13.45833333333333</v>
      </c>
      <c r="D153">
        <v>5.4</v>
      </c>
      <c r="E153">
        <v>21.5</v>
      </c>
      <c r="F153">
        <v>84.824404761904759</v>
      </c>
      <c r="G153">
        <v>2.3334821428571431</v>
      </c>
      <c r="H153">
        <v>5.3</v>
      </c>
      <c r="I153">
        <v>135.13541666666671</v>
      </c>
      <c r="J153">
        <v>13.175000000000001</v>
      </c>
      <c r="K153">
        <v>142</v>
      </c>
      <c r="L153">
        <v>22702.75</v>
      </c>
      <c r="M153">
        <v>190186.25</v>
      </c>
      <c r="N153">
        <v>581</v>
      </c>
      <c r="O153">
        <v>5143.4249999999993</v>
      </c>
      <c r="P153">
        <v>0</v>
      </c>
      <c r="Q153">
        <v>7</v>
      </c>
    </row>
    <row r="154" spans="1:17" x14ac:dyDescent="0.25">
      <c r="A154" s="2">
        <v>45852</v>
      </c>
      <c r="B154">
        <v>3</v>
      </c>
      <c r="C154">
        <v>13.408941877794341</v>
      </c>
      <c r="D154">
        <v>6.8</v>
      </c>
      <c r="E154">
        <v>20.7</v>
      </c>
      <c r="F154">
        <v>84.760059612518631</v>
      </c>
      <c r="G154">
        <v>2.353502235469449</v>
      </c>
      <c r="H154">
        <v>1</v>
      </c>
      <c r="I154">
        <v>135.52011922503729</v>
      </c>
      <c r="J154">
        <v>2.2250000000000001</v>
      </c>
      <c r="K154">
        <v>115.575</v>
      </c>
      <c r="L154">
        <v>22733.5</v>
      </c>
      <c r="M154">
        <v>192217.25</v>
      </c>
      <c r="N154">
        <v>571.85</v>
      </c>
      <c r="O154">
        <v>4985.8499999999995</v>
      </c>
      <c r="P154">
        <v>0</v>
      </c>
      <c r="Q154">
        <v>7</v>
      </c>
    </row>
    <row r="155" spans="1:17" x14ac:dyDescent="0.25">
      <c r="A155" s="2">
        <v>45859</v>
      </c>
      <c r="B155">
        <v>4</v>
      </c>
      <c r="C155">
        <v>14.170833333333331</v>
      </c>
      <c r="D155">
        <v>8.6</v>
      </c>
      <c r="E155">
        <v>21.9</v>
      </c>
      <c r="F155">
        <v>84.78720238095238</v>
      </c>
      <c r="G155">
        <v>2.299404761904762</v>
      </c>
      <c r="H155">
        <v>6.1</v>
      </c>
      <c r="I155">
        <v>146.57440476190479</v>
      </c>
      <c r="J155">
        <v>9.3000000000000007</v>
      </c>
      <c r="K155">
        <v>116.72499999999999</v>
      </c>
      <c r="L155">
        <v>24624.5</v>
      </c>
      <c r="M155">
        <v>195892.75</v>
      </c>
      <c r="N155">
        <v>700.7</v>
      </c>
      <c r="O155">
        <v>4970.2</v>
      </c>
      <c r="P155">
        <v>0</v>
      </c>
      <c r="Q155">
        <v>7</v>
      </c>
    </row>
    <row r="156" spans="1:17" x14ac:dyDescent="0.25">
      <c r="A156" s="2">
        <v>45866</v>
      </c>
      <c r="B156">
        <v>4</v>
      </c>
      <c r="C156">
        <v>13.285565476190479</v>
      </c>
      <c r="D156">
        <v>4.5999999999999996</v>
      </c>
      <c r="E156">
        <v>21.1</v>
      </c>
      <c r="F156">
        <v>83.523809523809518</v>
      </c>
      <c r="G156">
        <v>2.5958333333333341</v>
      </c>
      <c r="H156">
        <v>14.7</v>
      </c>
      <c r="I156">
        <v>134.49553571428569</v>
      </c>
      <c r="J156">
        <v>15.1</v>
      </c>
      <c r="K156">
        <v>128.15</v>
      </c>
      <c r="L156">
        <v>22595.25</v>
      </c>
      <c r="M156">
        <v>195189</v>
      </c>
      <c r="N156">
        <v>551.97500000000002</v>
      </c>
      <c r="O156">
        <v>4885.55</v>
      </c>
      <c r="P156">
        <v>0</v>
      </c>
      <c r="Q156">
        <v>7</v>
      </c>
    </row>
    <row r="157" spans="1:17" x14ac:dyDescent="0.25">
      <c r="A157" s="2">
        <v>45873</v>
      </c>
      <c r="B157">
        <v>4</v>
      </c>
      <c r="C157">
        <v>12.93229166666667</v>
      </c>
      <c r="D157">
        <v>3.6</v>
      </c>
      <c r="E157">
        <v>20.6</v>
      </c>
      <c r="F157">
        <v>85.626488095238102</v>
      </c>
      <c r="G157">
        <v>1.9069940476190479</v>
      </c>
      <c r="H157">
        <v>25.4</v>
      </c>
      <c r="I157">
        <v>134.57886904761901</v>
      </c>
      <c r="J157">
        <v>41.375</v>
      </c>
      <c r="K157">
        <v>153.85</v>
      </c>
      <c r="L157">
        <v>22609.25</v>
      </c>
      <c r="M157">
        <v>195350.25</v>
      </c>
      <c r="N157">
        <v>492.625</v>
      </c>
      <c r="O157">
        <v>4707.0249999999996</v>
      </c>
      <c r="P157">
        <v>1</v>
      </c>
      <c r="Q15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9.140625" defaultRowHeight="15" x14ac:dyDescent="0.25"/>
  <sheetData>
    <row r="1" spans="1:2" x14ac:dyDescent="0.25">
      <c r="A1" s="5" t="s">
        <v>17</v>
      </c>
      <c r="B1" s="5" t="s">
        <v>18</v>
      </c>
    </row>
    <row r="2" spans="1:2" x14ac:dyDescent="0.25">
      <c r="A2" t="s">
        <v>0</v>
      </c>
      <c r="B2" t="s">
        <v>19</v>
      </c>
    </row>
    <row r="3" spans="1:2" x14ac:dyDescent="0.25">
      <c r="A3" t="s">
        <v>1</v>
      </c>
      <c r="B3" t="s">
        <v>20</v>
      </c>
    </row>
    <row r="4" spans="1:2" x14ac:dyDescent="0.25">
      <c r="A4" t="s">
        <v>2</v>
      </c>
      <c r="B4" t="s">
        <v>21</v>
      </c>
    </row>
    <row r="5" spans="1:2" x14ac:dyDescent="0.25">
      <c r="A5" t="s">
        <v>3</v>
      </c>
      <c r="B5" t="s">
        <v>22</v>
      </c>
    </row>
    <row r="6" spans="1:2" x14ac:dyDescent="0.25">
      <c r="A6" t="s">
        <v>4</v>
      </c>
      <c r="B6" t="s">
        <v>23</v>
      </c>
    </row>
    <row r="7" spans="1:2" x14ac:dyDescent="0.25">
      <c r="A7" t="s">
        <v>5</v>
      </c>
      <c r="B7" t="s">
        <v>24</v>
      </c>
    </row>
    <row r="8" spans="1:2" x14ac:dyDescent="0.25">
      <c r="A8" t="s">
        <v>6</v>
      </c>
      <c r="B8" t="s">
        <v>25</v>
      </c>
    </row>
    <row r="9" spans="1:2" x14ac:dyDescent="0.25">
      <c r="A9" t="s">
        <v>7</v>
      </c>
      <c r="B9" t="s">
        <v>26</v>
      </c>
    </row>
    <row r="10" spans="1:2" x14ac:dyDescent="0.25">
      <c r="A10" t="s">
        <v>8</v>
      </c>
      <c r="B10" t="s">
        <v>27</v>
      </c>
    </row>
    <row r="11" spans="1:2" x14ac:dyDescent="0.25">
      <c r="A11" t="s">
        <v>9</v>
      </c>
      <c r="B11" t="s">
        <v>28</v>
      </c>
    </row>
    <row r="12" spans="1:2" x14ac:dyDescent="0.25">
      <c r="A12" t="s">
        <v>10</v>
      </c>
      <c r="B12" t="s">
        <v>29</v>
      </c>
    </row>
    <row r="13" spans="1:2" x14ac:dyDescent="0.25">
      <c r="A13" t="s">
        <v>11</v>
      </c>
      <c r="B13" t="s">
        <v>30</v>
      </c>
    </row>
    <row r="14" spans="1:2" x14ac:dyDescent="0.25">
      <c r="A14" t="s">
        <v>12</v>
      </c>
      <c r="B14" t="s">
        <v>31</v>
      </c>
    </row>
    <row r="15" spans="1:2" x14ac:dyDescent="0.25">
      <c r="A15" t="s">
        <v>13</v>
      </c>
      <c r="B15" t="s">
        <v>32</v>
      </c>
    </row>
    <row r="16" spans="1:2" x14ac:dyDescent="0.25">
      <c r="A16" t="s">
        <v>14</v>
      </c>
      <c r="B16" t="s">
        <v>33</v>
      </c>
    </row>
    <row r="17" spans="1:2" x14ac:dyDescent="0.25">
      <c r="A17" t="s">
        <v>15</v>
      </c>
      <c r="B17" t="s">
        <v>34</v>
      </c>
    </row>
    <row r="18" spans="1:2" x14ac:dyDescent="0.25">
      <c r="A18" t="s">
        <v>16</v>
      </c>
      <c r="B18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7"/>
  <sheetViews>
    <sheetView topLeftCell="D131" zoomScale="69" workbookViewId="0">
      <selection activeCell="I1" activeCellId="1" sqref="A1:A157 I1:K157"/>
    </sheetView>
  </sheetViews>
  <sheetFormatPr baseColWidth="10" defaultRowHeight="15" x14ac:dyDescent="0.25"/>
  <cols>
    <col min="1" max="1" width="24.85546875" customWidth="1"/>
    <col min="2" max="2" width="67.140625" bestFit="1" customWidth="1"/>
    <col min="3" max="3" width="66.42578125" bestFit="1" customWidth="1"/>
    <col min="4" max="4" width="39" bestFit="1" customWidth="1"/>
    <col min="6" max="6" width="17.5703125" bestFit="1" customWidth="1"/>
    <col min="9" max="9" width="18.7109375" bestFit="1" customWidth="1"/>
    <col min="10" max="10" width="15.140625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10</v>
      </c>
      <c r="C1" s="1" t="s">
        <v>12</v>
      </c>
      <c r="D1" s="1" t="s">
        <v>14</v>
      </c>
      <c r="I1" t="s">
        <v>36</v>
      </c>
      <c r="J1" t="s">
        <v>37</v>
      </c>
      <c r="K1" t="s">
        <v>38</v>
      </c>
    </row>
    <row r="2" spans="1:11" x14ac:dyDescent="0.25">
      <c r="A2" s="2">
        <v>44760</v>
      </c>
      <c r="B2">
        <v>18.2</v>
      </c>
      <c r="C2">
        <v>19635.5</v>
      </c>
      <c r="D2">
        <v>515.77499999999998</v>
      </c>
      <c r="F2" s="3" t="s">
        <v>39</v>
      </c>
      <c r="G2" s="4">
        <f>MAX(B2:B157)</f>
        <v>296.27499999999998</v>
      </c>
      <c r="I2" cm="1">
        <f t="array" ref="I2:I157">B2:B157/G2</f>
        <v>6.1429415239220318E-2</v>
      </c>
      <c r="J2" cm="1">
        <f t="array" ref="J2:J157">(C2:C157/1000)/G3</f>
        <v>7.0954931124698264E-2</v>
      </c>
      <c r="K2">
        <f>I2*J2</f>
        <v>4.3587199273293674E-3</v>
      </c>
    </row>
    <row r="3" spans="1:11" x14ac:dyDescent="0.25">
      <c r="A3" s="2">
        <v>44767</v>
      </c>
      <c r="B3">
        <v>49.3</v>
      </c>
      <c r="C3">
        <v>41539.5</v>
      </c>
      <c r="D3">
        <v>1103.0999999999999</v>
      </c>
      <c r="F3" s="3" t="s">
        <v>40</v>
      </c>
      <c r="G3" s="4">
        <f>(MAX(C2:C157)/1000)</f>
        <v>276.73200000000003</v>
      </c>
      <c r="I3">
        <v>0.16639945996118471</v>
      </c>
      <c r="J3">
        <v>0.15010732405359695</v>
      </c>
      <c r="K3">
        <f t="shared" ref="K3:K66" si="0">I3*J3</f>
        <v>2.4977777658737085E-2</v>
      </c>
    </row>
    <row r="4" spans="1:11" x14ac:dyDescent="0.25">
      <c r="A4" s="2">
        <v>44774</v>
      </c>
      <c r="B4">
        <v>77.55</v>
      </c>
      <c r="C4">
        <v>62166.75</v>
      </c>
      <c r="D4">
        <v>1658.625</v>
      </c>
      <c r="I4">
        <v>0.2617500632857987</v>
      </c>
      <c r="J4">
        <v>0.22464604743939984</v>
      </c>
      <c r="K4">
        <f t="shared" si="0"/>
        <v>5.8801117134167441E-2</v>
      </c>
    </row>
    <row r="5" spans="1:11" x14ac:dyDescent="0.25">
      <c r="A5" s="2">
        <v>44781</v>
      </c>
      <c r="B5">
        <v>113.6</v>
      </c>
      <c r="C5">
        <v>85339.25</v>
      </c>
      <c r="D5">
        <v>2170.0749999999998</v>
      </c>
      <c r="I5">
        <v>0.38342755885579277</v>
      </c>
      <c r="J5">
        <v>0.30838229767428416</v>
      </c>
      <c r="K5">
        <f t="shared" si="0"/>
        <v>0.11824227159159119</v>
      </c>
    </row>
    <row r="6" spans="1:11" x14ac:dyDescent="0.25">
      <c r="A6" s="2">
        <v>44788</v>
      </c>
      <c r="B6">
        <v>127</v>
      </c>
      <c r="C6">
        <v>114518.5</v>
      </c>
      <c r="D6">
        <v>2703.5749999999998</v>
      </c>
      <c r="I6">
        <v>0.42865580963631766</v>
      </c>
      <c r="J6">
        <v>0.41382456672882062</v>
      </c>
      <c r="K6">
        <f t="shared" si="0"/>
        <v>0.17738830469854097</v>
      </c>
    </row>
    <row r="7" spans="1:11" x14ac:dyDescent="0.25">
      <c r="A7" s="2">
        <v>44795</v>
      </c>
      <c r="B7">
        <v>139.875</v>
      </c>
      <c r="C7">
        <v>138319.75</v>
      </c>
      <c r="D7">
        <v>3161.7249999999999</v>
      </c>
      <c r="I7">
        <v>0.47211205805417267</v>
      </c>
      <c r="J7">
        <v>0.49983287079195748</v>
      </c>
      <c r="K7">
        <f t="shared" si="0"/>
        <v>0.23597712531271642</v>
      </c>
    </row>
    <row r="8" spans="1:11" x14ac:dyDescent="0.25">
      <c r="A8" s="2">
        <v>44802</v>
      </c>
      <c r="B8">
        <v>158.875</v>
      </c>
      <c r="C8">
        <v>159717</v>
      </c>
      <c r="D8">
        <v>3700.75</v>
      </c>
      <c r="I8">
        <v>0.53624166736984225</v>
      </c>
      <c r="J8">
        <v>0.57715406964138583</v>
      </c>
      <c r="K8">
        <f t="shared" si="0"/>
        <v>0.30949406063378676</v>
      </c>
    </row>
    <row r="9" spans="1:11" x14ac:dyDescent="0.25">
      <c r="A9" s="2">
        <v>44809</v>
      </c>
      <c r="B9">
        <v>158.875</v>
      </c>
      <c r="C9">
        <v>183103.25</v>
      </c>
      <c r="D9">
        <v>4223.8</v>
      </c>
      <c r="I9">
        <v>0.53624166736984225</v>
      </c>
      <c r="J9">
        <v>0.66166272783776359</v>
      </c>
      <c r="K9">
        <f t="shared" si="0"/>
        <v>0.35481112441220047</v>
      </c>
    </row>
    <row r="10" spans="1:11" x14ac:dyDescent="0.25">
      <c r="A10" s="2">
        <v>44816</v>
      </c>
      <c r="B10">
        <v>174.75</v>
      </c>
      <c r="C10">
        <v>198683.75</v>
      </c>
      <c r="D10">
        <v>4223.5249999999996</v>
      </c>
      <c r="I10">
        <v>0.58982364357438199</v>
      </c>
      <c r="J10">
        <v>0.71796449272220053</v>
      </c>
      <c r="K10">
        <f t="shared" si="0"/>
        <v>0.42347243305444116</v>
      </c>
    </row>
    <row r="11" spans="1:11" x14ac:dyDescent="0.25">
      <c r="A11" s="2">
        <v>44823</v>
      </c>
      <c r="B11">
        <v>196.7</v>
      </c>
      <c r="C11">
        <v>203377.5</v>
      </c>
      <c r="D11">
        <v>4097.8999999999996</v>
      </c>
      <c r="I11">
        <v>0.66391021854695809</v>
      </c>
      <c r="J11">
        <v>0.73492584883569656</v>
      </c>
      <c r="K11">
        <f t="shared" si="0"/>
        <v>0.48792478091631597</v>
      </c>
    </row>
    <row r="12" spans="1:11" x14ac:dyDescent="0.25">
      <c r="A12" s="2">
        <v>44830</v>
      </c>
      <c r="B12">
        <v>189.125</v>
      </c>
      <c r="C12">
        <v>208308</v>
      </c>
      <c r="D12">
        <v>4107.6499999999996</v>
      </c>
      <c r="I12">
        <v>0.63834275588557932</v>
      </c>
      <c r="J12">
        <v>0.75274272581414503</v>
      </c>
      <c r="K12">
        <f t="shared" si="0"/>
        <v>0.48050786606902435</v>
      </c>
    </row>
    <row r="13" spans="1:11" x14ac:dyDescent="0.25">
      <c r="A13" s="2">
        <v>44837</v>
      </c>
      <c r="B13">
        <v>201.75</v>
      </c>
      <c r="C13">
        <v>209152</v>
      </c>
      <c r="D13">
        <v>4142.5</v>
      </c>
      <c r="I13">
        <v>0.68095519365454393</v>
      </c>
      <c r="J13">
        <v>0.7557926080106383</v>
      </c>
      <c r="K13">
        <f t="shared" si="0"/>
        <v>0.51466090175055701</v>
      </c>
    </row>
    <row r="14" spans="1:11" x14ac:dyDescent="0.25">
      <c r="A14" s="2">
        <v>44844</v>
      </c>
      <c r="B14">
        <v>201.75</v>
      </c>
      <c r="C14">
        <v>209322.75</v>
      </c>
      <c r="D14">
        <v>3689.3</v>
      </c>
      <c r="I14">
        <v>0.68095519365454393</v>
      </c>
      <c r="J14">
        <v>0.75640963097870861</v>
      </c>
      <c r="K14">
        <f t="shared" si="0"/>
        <v>0.51508106674526866</v>
      </c>
    </row>
    <row r="15" spans="1:11" x14ac:dyDescent="0.25">
      <c r="A15" s="2">
        <v>44851</v>
      </c>
      <c r="B15">
        <v>182.35</v>
      </c>
      <c r="C15">
        <v>207287.25</v>
      </c>
      <c r="D15">
        <v>3561.9250000000002</v>
      </c>
      <c r="I15">
        <v>0.61547548730064972</v>
      </c>
      <c r="J15">
        <v>0.74905413902259221</v>
      </c>
      <c r="K15">
        <f t="shared" si="0"/>
        <v>0.46102446122949858</v>
      </c>
    </row>
    <row r="16" spans="1:11" x14ac:dyDescent="0.25">
      <c r="A16" s="2">
        <v>44858</v>
      </c>
      <c r="B16">
        <v>194.65</v>
      </c>
      <c r="C16">
        <v>199776.5</v>
      </c>
      <c r="D16">
        <v>3537.4749999999999</v>
      </c>
      <c r="I16">
        <v>0.65699097122605699</v>
      </c>
      <c r="J16">
        <v>0.72191325903762482</v>
      </c>
      <c r="K16">
        <f t="shared" si="0"/>
        <v>0.47429049319609717</v>
      </c>
    </row>
    <row r="17" spans="1:11" x14ac:dyDescent="0.25">
      <c r="A17" s="2">
        <v>44865</v>
      </c>
      <c r="B17">
        <v>194.07499999999999</v>
      </c>
      <c r="C17">
        <v>201090.25</v>
      </c>
      <c r="D17">
        <v>3576.125</v>
      </c>
      <c r="I17">
        <v>0.65505020673360903</v>
      </c>
      <c r="J17">
        <v>0.72666063194715458</v>
      </c>
      <c r="K17">
        <f t="shared" si="0"/>
        <v>0.47599919718215861</v>
      </c>
    </row>
    <row r="18" spans="1:11" x14ac:dyDescent="0.25">
      <c r="A18" s="2">
        <v>44872</v>
      </c>
      <c r="B18">
        <v>201.125</v>
      </c>
      <c r="C18">
        <v>203279.75</v>
      </c>
      <c r="D18">
        <v>3680.0250000000001</v>
      </c>
      <c r="I18">
        <v>0.67884566703231797</v>
      </c>
      <c r="J18">
        <v>0.73457261899599613</v>
      </c>
      <c r="K18">
        <f t="shared" si="0"/>
        <v>0.49866143952601377</v>
      </c>
    </row>
    <row r="19" spans="1:11" x14ac:dyDescent="0.25">
      <c r="A19" s="2">
        <v>44879</v>
      </c>
      <c r="B19">
        <v>229.02500000000001</v>
      </c>
      <c r="C19">
        <v>203041.5</v>
      </c>
      <c r="D19">
        <v>3905.7750000000001</v>
      </c>
      <c r="I19">
        <v>0.77301493544848543</v>
      </c>
      <c r="J19">
        <v>0.73371167772429635</v>
      </c>
      <c r="K19">
        <f t="shared" si="0"/>
        <v>0.56717008519384693</v>
      </c>
    </row>
    <row r="20" spans="1:11" x14ac:dyDescent="0.25">
      <c r="A20" s="2">
        <v>44886</v>
      </c>
      <c r="B20">
        <v>202.97499999999999</v>
      </c>
      <c r="C20">
        <v>205814.5</v>
      </c>
      <c r="D20">
        <v>3946.0749999999998</v>
      </c>
      <c r="I20">
        <v>0.68508986583410691</v>
      </c>
      <c r="J20">
        <v>0.74373220299784626</v>
      </c>
      <c r="K20">
        <f t="shared" si="0"/>
        <v>0.50952339516829925</v>
      </c>
    </row>
    <row r="21" spans="1:11" x14ac:dyDescent="0.25">
      <c r="A21" s="2">
        <v>44893</v>
      </c>
      <c r="B21">
        <v>183.65</v>
      </c>
      <c r="C21">
        <v>208282.75</v>
      </c>
      <c r="D21">
        <v>3949.75</v>
      </c>
      <c r="I21">
        <v>0.61986330267487988</v>
      </c>
      <c r="J21">
        <v>0.75265148230056511</v>
      </c>
      <c r="K21">
        <f t="shared" si="0"/>
        <v>0.46654103358197219</v>
      </c>
    </row>
    <row r="22" spans="1:11" x14ac:dyDescent="0.25">
      <c r="A22" s="2">
        <v>44900</v>
      </c>
      <c r="B22">
        <v>164.95</v>
      </c>
      <c r="C22">
        <v>203516.75</v>
      </c>
      <c r="D22">
        <v>4393.2250000000004</v>
      </c>
      <c r="I22">
        <v>0.5567462661378787</v>
      </c>
      <c r="J22">
        <v>0.73542904326207303</v>
      </c>
      <c r="K22">
        <f t="shared" si="0"/>
        <v>0.40944737384551161</v>
      </c>
    </row>
    <row r="23" spans="1:11" x14ac:dyDescent="0.25">
      <c r="A23" s="2">
        <v>44907</v>
      </c>
      <c r="B23">
        <v>152.375</v>
      </c>
      <c r="C23">
        <v>205647.75</v>
      </c>
      <c r="D23">
        <v>4453.9250000000002</v>
      </c>
      <c r="I23">
        <v>0.51430259049869209</v>
      </c>
      <c r="J23">
        <v>0.74312963444776892</v>
      </c>
      <c r="K23">
        <f t="shared" si="0"/>
        <v>0.38219349607283365</v>
      </c>
    </row>
    <row r="24" spans="1:11" x14ac:dyDescent="0.25">
      <c r="A24" s="2">
        <v>44914</v>
      </c>
      <c r="B24">
        <v>128.77500000000001</v>
      </c>
      <c r="C24">
        <v>224838.5</v>
      </c>
      <c r="D24">
        <v>4476.4750000000004</v>
      </c>
      <c r="I24">
        <v>0.43464686524343943</v>
      </c>
      <c r="J24">
        <v>0.81247741497188608</v>
      </c>
      <c r="K24">
        <f t="shared" si="0"/>
        <v>0.35314076149862339</v>
      </c>
    </row>
    <row r="25" spans="1:11" x14ac:dyDescent="0.25">
      <c r="A25" s="2">
        <v>44921</v>
      </c>
      <c r="B25">
        <v>108.825</v>
      </c>
      <c r="C25">
        <v>225918.75</v>
      </c>
      <c r="D25">
        <v>4461.3</v>
      </c>
      <c r="I25">
        <v>0.36731077546198637</v>
      </c>
      <c r="J25">
        <v>0.81638101123108264</v>
      </c>
      <c r="K25">
        <f t="shared" si="0"/>
        <v>0.29986554230772955</v>
      </c>
    </row>
    <row r="26" spans="1:11" x14ac:dyDescent="0.25">
      <c r="A26" s="2">
        <v>44928</v>
      </c>
      <c r="B26">
        <v>95.3</v>
      </c>
      <c r="C26">
        <v>223642</v>
      </c>
      <c r="D26">
        <v>4457.6000000000004</v>
      </c>
      <c r="I26">
        <v>0.32166061935701629</v>
      </c>
      <c r="J26">
        <v>0.8081537371897719</v>
      </c>
      <c r="K26">
        <f t="shared" si="0"/>
        <v>0.25995123164014938</v>
      </c>
    </row>
    <row r="27" spans="1:11" x14ac:dyDescent="0.25">
      <c r="A27" s="2">
        <v>44935</v>
      </c>
      <c r="B27">
        <v>136.4</v>
      </c>
      <c r="C27">
        <v>222562.25</v>
      </c>
      <c r="D27">
        <v>4385.45</v>
      </c>
      <c r="I27">
        <v>0.46038309003459627</v>
      </c>
      <c r="J27">
        <v>0.80425194773282449</v>
      </c>
      <c r="K27">
        <f t="shared" si="0"/>
        <v>0.37026399686358036</v>
      </c>
    </row>
    <row r="28" spans="1:11" x14ac:dyDescent="0.25">
      <c r="A28" s="2">
        <v>44942</v>
      </c>
      <c r="B28">
        <v>147.4</v>
      </c>
      <c r="C28">
        <v>215723.25</v>
      </c>
      <c r="D28">
        <v>4126.6750000000002</v>
      </c>
      <c r="I28">
        <v>0.49751075858577343</v>
      </c>
      <c r="J28">
        <v>0.77953850656953294</v>
      </c>
      <c r="K28">
        <f t="shared" si="0"/>
        <v>0.38782879375022927</v>
      </c>
    </row>
    <row r="29" spans="1:11" x14ac:dyDescent="0.25">
      <c r="A29" s="2">
        <v>44949</v>
      </c>
      <c r="B29">
        <v>127.65</v>
      </c>
      <c r="C29">
        <v>222985.5</v>
      </c>
      <c r="D29">
        <v>3925.25</v>
      </c>
      <c r="I29">
        <v>0.43084971732343269</v>
      </c>
      <c r="J29">
        <v>0.80578140583669389</v>
      </c>
      <c r="K29">
        <f t="shared" si="0"/>
        <v>0.34717069092921776</v>
      </c>
    </row>
    <row r="30" spans="1:11" x14ac:dyDescent="0.25">
      <c r="A30" s="2">
        <v>44956</v>
      </c>
      <c r="B30">
        <v>116.075</v>
      </c>
      <c r="C30">
        <v>232420.75</v>
      </c>
      <c r="D30">
        <v>3814.8249999999998</v>
      </c>
      <c r="I30">
        <v>0.39178128427980763</v>
      </c>
      <c r="J30">
        <v>0.8398766676784758</v>
      </c>
      <c r="K30">
        <f t="shared" si="0"/>
        <v>0.32904795949971843</v>
      </c>
    </row>
    <row r="31" spans="1:11" x14ac:dyDescent="0.25">
      <c r="A31" s="2">
        <v>44963</v>
      </c>
      <c r="B31">
        <v>120.55</v>
      </c>
      <c r="C31">
        <v>239291</v>
      </c>
      <c r="D31">
        <v>4042.3</v>
      </c>
      <c r="I31">
        <v>0.40688549489494558</v>
      </c>
      <c r="J31">
        <v>0.86470303398233661</v>
      </c>
      <c r="K31">
        <f t="shared" si="0"/>
        <v>0.35183512191906396</v>
      </c>
    </row>
    <row r="32" spans="1:11" x14ac:dyDescent="0.25">
      <c r="A32" s="2">
        <v>44970</v>
      </c>
      <c r="B32">
        <v>134.52500000000001</v>
      </c>
      <c r="C32">
        <v>234154.75</v>
      </c>
      <c r="D32">
        <v>4104</v>
      </c>
      <c r="I32">
        <v>0.45405451016791837</v>
      </c>
      <c r="J32">
        <v>0.8461426578783805</v>
      </c>
      <c r="K32">
        <f t="shared" si="0"/>
        <v>0.38419489005514862</v>
      </c>
    </row>
    <row r="33" spans="1:11" x14ac:dyDescent="0.25">
      <c r="A33" s="2">
        <v>44977</v>
      </c>
      <c r="B33">
        <v>152.77500000000001</v>
      </c>
      <c r="C33">
        <v>232150.5</v>
      </c>
      <c r="D33">
        <v>4115.9250000000002</v>
      </c>
      <c r="I33">
        <v>0.51565268753691673</v>
      </c>
      <c r="J33">
        <v>0.83890009106283325</v>
      </c>
      <c r="K33">
        <f t="shared" si="0"/>
        <v>0.43258108653151417</v>
      </c>
    </row>
    <row r="34" spans="1:11" x14ac:dyDescent="0.25">
      <c r="A34" s="2">
        <v>44984</v>
      </c>
      <c r="B34">
        <v>150.69999999999999</v>
      </c>
      <c r="C34">
        <v>229593.75</v>
      </c>
      <c r="D34">
        <v>4169.3999999999996</v>
      </c>
      <c r="I34">
        <v>0.50864905915112646</v>
      </c>
      <c r="J34">
        <v>0.82966100776202234</v>
      </c>
      <c r="K34">
        <f t="shared" si="0"/>
        <v>0.42200629101252807</v>
      </c>
    </row>
    <row r="35" spans="1:11" x14ac:dyDescent="0.25">
      <c r="A35" s="2">
        <v>44991</v>
      </c>
      <c r="B35">
        <v>151.72499999999999</v>
      </c>
      <c r="C35">
        <v>224954.25</v>
      </c>
      <c r="D35">
        <v>3685.3</v>
      </c>
      <c r="I35">
        <v>0.51210868281157707</v>
      </c>
      <c r="J35">
        <v>0.81289568969255444</v>
      </c>
      <c r="K35">
        <f t="shared" si="0"/>
        <v>0.41629094091166252</v>
      </c>
    </row>
    <row r="36" spans="1:11" x14ac:dyDescent="0.25">
      <c r="A36" s="2">
        <v>44998</v>
      </c>
      <c r="B36">
        <v>105.72499999999999</v>
      </c>
      <c r="C36">
        <v>232047.75</v>
      </c>
      <c r="D36">
        <v>3893.95</v>
      </c>
      <c r="I36">
        <v>0.35684752341574549</v>
      </c>
      <c r="J36">
        <v>0.83852879320064178</v>
      </c>
      <c r="K36">
        <f t="shared" si="0"/>
        <v>0.29922692316644284</v>
      </c>
    </row>
    <row r="37" spans="1:11" x14ac:dyDescent="0.25">
      <c r="A37" s="2">
        <v>45005</v>
      </c>
      <c r="B37">
        <v>70.650000000000006</v>
      </c>
      <c r="C37">
        <v>231800.5</v>
      </c>
      <c r="D37">
        <v>3897.8</v>
      </c>
      <c r="I37">
        <v>0.23846088937642396</v>
      </c>
      <c r="J37">
        <v>0.83763532948845809</v>
      </c>
      <c r="K37">
        <f t="shared" si="0"/>
        <v>0.19974326564293163</v>
      </c>
    </row>
    <row r="38" spans="1:11" x14ac:dyDescent="0.25">
      <c r="A38" s="2">
        <v>45012</v>
      </c>
      <c r="B38">
        <v>67.2</v>
      </c>
      <c r="C38">
        <v>238876</v>
      </c>
      <c r="D38">
        <v>4179.05</v>
      </c>
      <c r="I38">
        <v>0.22681630242173659</v>
      </c>
      <c r="J38">
        <v>0.86320338811557751</v>
      </c>
      <c r="K38">
        <f t="shared" si="0"/>
        <v>0.1957886007302905</v>
      </c>
    </row>
    <row r="39" spans="1:11" x14ac:dyDescent="0.25">
      <c r="A39" s="2">
        <v>45019</v>
      </c>
      <c r="B39">
        <v>82.45</v>
      </c>
      <c r="C39">
        <v>228827.75</v>
      </c>
      <c r="D39">
        <v>4259.4250000000002</v>
      </c>
      <c r="I39">
        <v>0.27828875200405034</v>
      </c>
      <c r="J39">
        <v>0.82689298671638978</v>
      </c>
      <c r="K39">
        <f t="shared" si="0"/>
        <v>0.23011501731420589</v>
      </c>
    </row>
    <row r="40" spans="1:11" x14ac:dyDescent="0.25">
      <c r="A40" s="2">
        <v>45026</v>
      </c>
      <c r="B40">
        <v>83.274999999999991</v>
      </c>
      <c r="C40">
        <v>219318.75</v>
      </c>
      <c r="D40">
        <v>3966.3249999999998</v>
      </c>
      <c r="I40">
        <v>0.28107332714538857</v>
      </c>
      <c r="J40">
        <v>0.79253122154286448</v>
      </c>
      <c r="K40">
        <f t="shared" si="0"/>
        <v>0.22275938730565198</v>
      </c>
    </row>
    <row r="41" spans="1:11" x14ac:dyDescent="0.25">
      <c r="A41" s="2">
        <v>45033</v>
      </c>
      <c r="B41">
        <v>119.9</v>
      </c>
      <c r="C41">
        <v>213947</v>
      </c>
      <c r="D41">
        <v>4072.95</v>
      </c>
      <c r="I41">
        <v>0.40469158720783061</v>
      </c>
      <c r="J41">
        <v>0.77311984157957869</v>
      </c>
      <c r="K41">
        <f t="shared" si="0"/>
        <v>0.31287509579070627</v>
      </c>
    </row>
    <row r="42" spans="1:11" x14ac:dyDescent="0.25">
      <c r="A42" s="2">
        <v>45040</v>
      </c>
      <c r="B42">
        <v>111.9</v>
      </c>
      <c r="C42">
        <v>209359.5</v>
      </c>
      <c r="D42">
        <v>4086.625</v>
      </c>
      <c r="I42">
        <v>0.37768964644333819</v>
      </c>
      <c r="J42">
        <v>0.75654243094401796</v>
      </c>
      <c r="K42">
        <f t="shared" si="0"/>
        <v>0.28573824326262975</v>
      </c>
    </row>
    <row r="43" spans="1:11" x14ac:dyDescent="0.25">
      <c r="A43" s="2">
        <v>45047</v>
      </c>
      <c r="B43">
        <v>93.85</v>
      </c>
      <c r="C43">
        <v>207055.25</v>
      </c>
      <c r="D43">
        <v>4595.7750000000005</v>
      </c>
      <c r="I43">
        <v>0.31676651759345203</v>
      </c>
      <c r="J43">
        <v>0.74821578277900636</v>
      </c>
      <c r="K43">
        <f t="shared" si="0"/>
        <v>0.2370097079193646</v>
      </c>
    </row>
    <row r="44" spans="1:11" x14ac:dyDescent="0.25">
      <c r="A44" s="2">
        <v>45054</v>
      </c>
      <c r="B44">
        <v>92.224999999999994</v>
      </c>
      <c r="C44">
        <v>207628.5</v>
      </c>
      <c r="D44">
        <v>4814.2750000000005</v>
      </c>
      <c r="I44">
        <v>0.31128174837566452</v>
      </c>
      <c r="J44">
        <v>0.75028728155760804</v>
      </c>
      <c r="K44">
        <f t="shared" si="0"/>
        <v>0.2335507367872767</v>
      </c>
    </row>
    <row r="45" spans="1:11" x14ac:dyDescent="0.25">
      <c r="A45" s="2">
        <v>45061</v>
      </c>
      <c r="B45">
        <v>81.025000000000006</v>
      </c>
      <c r="C45">
        <v>210802</v>
      </c>
      <c r="D45">
        <v>5303.75</v>
      </c>
      <c r="I45">
        <v>0.2734790313053751</v>
      </c>
      <c r="J45">
        <v>0.76175505543269295</v>
      </c>
      <c r="K45">
        <f t="shared" si="0"/>
        <v>0.20832403465170518</v>
      </c>
    </row>
    <row r="46" spans="1:11" x14ac:dyDescent="0.25">
      <c r="A46" s="2">
        <v>45068</v>
      </c>
      <c r="B46">
        <v>116.125</v>
      </c>
      <c r="C46">
        <v>199988.75</v>
      </c>
      <c r="D46">
        <v>5343.625</v>
      </c>
      <c r="I46">
        <v>0.3919500464095857</v>
      </c>
      <c r="J46">
        <v>0.72268024659237096</v>
      </c>
      <c r="K46">
        <f t="shared" si="0"/>
        <v>0.28325455619117063</v>
      </c>
    </row>
    <row r="47" spans="1:11" x14ac:dyDescent="0.25">
      <c r="A47" s="2">
        <v>45075</v>
      </c>
      <c r="B47">
        <v>122.25</v>
      </c>
      <c r="C47">
        <v>199650.75</v>
      </c>
      <c r="D47">
        <v>5361.5999999999995</v>
      </c>
      <c r="I47">
        <v>0.41262340730740027</v>
      </c>
      <c r="J47">
        <v>0.72145884827197426</v>
      </c>
      <c r="K47">
        <f t="shared" si="0"/>
        <v>0.2976908082060547</v>
      </c>
    </row>
    <row r="48" spans="1:11" x14ac:dyDescent="0.25">
      <c r="A48" s="2">
        <v>45082</v>
      </c>
      <c r="B48">
        <v>128.6</v>
      </c>
      <c r="C48">
        <v>197843.5</v>
      </c>
      <c r="D48">
        <v>5735.3250000000007</v>
      </c>
      <c r="I48">
        <v>0.43405619778921611</v>
      </c>
      <c r="J48">
        <v>0.71492816154257544</v>
      </c>
      <c r="K48">
        <f t="shared" si="0"/>
        <v>0.3103189994916048</v>
      </c>
    </row>
    <row r="49" spans="1:11" x14ac:dyDescent="0.25">
      <c r="A49" s="2">
        <v>45089</v>
      </c>
      <c r="B49">
        <v>123.85</v>
      </c>
      <c r="C49">
        <v>196727.75</v>
      </c>
      <c r="D49">
        <v>5687.5</v>
      </c>
      <c r="I49">
        <v>0.41802379546029872</v>
      </c>
      <c r="J49">
        <v>0.71089628232369206</v>
      </c>
      <c r="K49">
        <f t="shared" si="0"/>
        <v>0.29717156211556583</v>
      </c>
    </row>
    <row r="50" spans="1:11" x14ac:dyDescent="0.25">
      <c r="A50" s="2">
        <v>45096</v>
      </c>
      <c r="B50">
        <v>102.02500000000001</v>
      </c>
      <c r="C50">
        <v>200216</v>
      </c>
      <c r="D50">
        <v>5814.6750000000002</v>
      </c>
      <c r="I50">
        <v>0.34435912581216782</v>
      </c>
      <c r="J50">
        <v>0.72350143821459023</v>
      </c>
      <c r="K50">
        <f t="shared" si="0"/>
        <v>0.24914432278742243</v>
      </c>
    </row>
    <row r="51" spans="1:11" x14ac:dyDescent="0.25">
      <c r="A51" s="2">
        <v>45103</v>
      </c>
      <c r="B51">
        <v>101.05</v>
      </c>
      <c r="C51">
        <v>199370.25</v>
      </c>
      <c r="D51">
        <v>5940.5249999999996</v>
      </c>
      <c r="I51">
        <v>0.34106826428149523</v>
      </c>
      <c r="J51">
        <v>0.72044523221022494</v>
      </c>
      <c r="K51">
        <f t="shared" si="0"/>
        <v>0.24572100485982021</v>
      </c>
    </row>
    <row r="52" spans="1:11" x14ac:dyDescent="0.25">
      <c r="A52" s="2">
        <v>45110</v>
      </c>
      <c r="B52">
        <v>132</v>
      </c>
      <c r="C52">
        <v>193086</v>
      </c>
      <c r="D52">
        <v>5778.5249999999996</v>
      </c>
      <c r="I52">
        <v>0.44553202261412544</v>
      </c>
      <c r="J52">
        <v>0.69773643814231823</v>
      </c>
      <c r="K52">
        <f t="shared" si="0"/>
        <v>0.31086392653712264</v>
      </c>
    </row>
    <row r="53" spans="1:11" x14ac:dyDescent="0.25">
      <c r="A53" s="2">
        <v>45117</v>
      </c>
      <c r="B53">
        <v>141.72499999999999</v>
      </c>
      <c r="C53">
        <v>191337.25</v>
      </c>
      <c r="D53">
        <v>5594.15</v>
      </c>
      <c r="I53">
        <v>0.47835625685596156</v>
      </c>
      <c r="J53">
        <v>0.69141714727606485</v>
      </c>
      <c r="K53">
        <f t="shared" si="0"/>
        <v>0.33074371849700546</v>
      </c>
    </row>
    <row r="54" spans="1:11" x14ac:dyDescent="0.25">
      <c r="A54" s="2">
        <v>45124</v>
      </c>
      <c r="B54">
        <v>133.75</v>
      </c>
      <c r="C54">
        <v>190323.75</v>
      </c>
      <c r="D54">
        <v>5525.9</v>
      </c>
      <c r="I54">
        <v>0.45143869715635815</v>
      </c>
      <c r="J54">
        <v>0.68775475911712403</v>
      </c>
      <c r="K54">
        <f t="shared" si="0"/>
        <v>0.3104791124189194</v>
      </c>
    </row>
    <row r="55" spans="1:11" x14ac:dyDescent="0.25">
      <c r="A55" s="2">
        <v>45131</v>
      </c>
      <c r="B55">
        <v>129.27500000000001</v>
      </c>
      <c r="C55">
        <v>192076.75</v>
      </c>
      <c r="D55">
        <v>5585.35</v>
      </c>
      <c r="I55">
        <v>0.4363344865412202</v>
      </c>
      <c r="J55">
        <v>0.69408940780249473</v>
      </c>
      <c r="K55">
        <f t="shared" si="0"/>
        <v>0.30285514536720115</v>
      </c>
    </row>
    <row r="56" spans="1:11" x14ac:dyDescent="0.25">
      <c r="A56" s="2">
        <v>45138</v>
      </c>
      <c r="B56">
        <v>118.075</v>
      </c>
      <c r="C56">
        <v>190882.75</v>
      </c>
      <c r="D56">
        <v>5539.7999999999993</v>
      </c>
      <c r="I56">
        <v>0.39853176947093077</v>
      </c>
      <c r="J56">
        <v>0.68977476403162619</v>
      </c>
      <c r="K56">
        <f t="shared" si="0"/>
        <v>0.27489715724591773</v>
      </c>
    </row>
    <row r="57" spans="1:11" x14ac:dyDescent="0.25">
      <c r="A57" s="2">
        <v>45145</v>
      </c>
      <c r="B57">
        <v>119.95</v>
      </c>
      <c r="C57">
        <v>191397.5</v>
      </c>
      <c r="D57">
        <v>5533.125</v>
      </c>
      <c r="I57">
        <v>0.40486034933760867</v>
      </c>
      <c r="J57">
        <v>0.69163486694708232</v>
      </c>
      <c r="K57">
        <f t="shared" si="0"/>
        <v>0.28001553384626626</v>
      </c>
    </row>
    <row r="58" spans="1:11" x14ac:dyDescent="0.25">
      <c r="A58" s="2">
        <v>45152</v>
      </c>
      <c r="B58">
        <v>150.77500000000001</v>
      </c>
      <c r="C58">
        <v>192559.5</v>
      </c>
      <c r="D58">
        <v>5465.7749999999996</v>
      </c>
      <c r="I58">
        <v>0.50890220234579364</v>
      </c>
      <c r="J58">
        <v>0.69583387537400809</v>
      </c>
      <c r="K58">
        <f t="shared" si="0"/>
        <v>0.35411139164464123</v>
      </c>
    </row>
    <row r="59" spans="1:11" x14ac:dyDescent="0.25">
      <c r="A59" s="2">
        <v>45159</v>
      </c>
      <c r="B59">
        <v>151.67500000000001</v>
      </c>
      <c r="C59">
        <v>199419.5</v>
      </c>
      <c r="D59">
        <v>5405.2750000000005</v>
      </c>
      <c r="I59">
        <v>0.51193992068179905</v>
      </c>
      <c r="J59">
        <v>0.72062320223176202</v>
      </c>
      <c r="K59">
        <f t="shared" si="0"/>
        <v>0.36891578499199229</v>
      </c>
    </row>
    <row r="60" spans="1:11" x14ac:dyDescent="0.25">
      <c r="A60" s="2">
        <v>45166</v>
      </c>
      <c r="B60">
        <v>134.55000000000001</v>
      </c>
      <c r="C60">
        <v>207409.75</v>
      </c>
      <c r="D60">
        <v>5497.9500000000007</v>
      </c>
      <c r="I60">
        <v>0.45413889123280743</v>
      </c>
      <c r="J60">
        <v>0.74949680557362353</v>
      </c>
      <c r="K60">
        <f t="shared" si="0"/>
        <v>0.34037564826573641</v>
      </c>
    </row>
    <row r="61" spans="1:11" x14ac:dyDescent="0.25">
      <c r="A61" s="2">
        <v>45173</v>
      </c>
      <c r="B61">
        <v>118.25</v>
      </c>
      <c r="C61">
        <v>211909.75</v>
      </c>
      <c r="D61">
        <v>5452.4250000000002</v>
      </c>
      <c r="I61">
        <v>0.39912243692515403</v>
      </c>
      <c r="J61">
        <v>0.76575802581559049</v>
      </c>
      <c r="K61">
        <f t="shared" si="0"/>
        <v>0.30563120935851351</v>
      </c>
    </row>
    <row r="62" spans="1:11" x14ac:dyDescent="0.25">
      <c r="A62" s="2">
        <v>45180</v>
      </c>
      <c r="B62">
        <v>108.875</v>
      </c>
      <c r="C62">
        <v>217441.25</v>
      </c>
      <c r="D62">
        <v>5388.05</v>
      </c>
      <c r="I62">
        <v>0.36747953759176444</v>
      </c>
      <c r="J62">
        <v>0.78574667909746609</v>
      </c>
      <c r="K62">
        <f t="shared" si="0"/>
        <v>0.28874582629900136</v>
      </c>
    </row>
    <row r="63" spans="1:11" x14ac:dyDescent="0.25">
      <c r="A63" s="2">
        <v>45187</v>
      </c>
      <c r="B63">
        <v>106.075</v>
      </c>
      <c r="C63">
        <v>222838</v>
      </c>
      <c r="D63">
        <v>5193.6750000000002</v>
      </c>
      <c r="I63">
        <v>0.35802885832419207</v>
      </c>
      <c r="J63">
        <v>0.80524839917320723</v>
      </c>
      <c r="K63">
        <f t="shared" si="0"/>
        <v>0.2883021650233667</v>
      </c>
    </row>
    <row r="64" spans="1:11" x14ac:dyDescent="0.25">
      <c r="A64" s="2">
        <v>45194</v>
      </c>
      <c r="B64">
        <v>103.3</v>
      </c>
      <c r="C64">
        <v>231075.25</v>
      </c>
      <c r="D64">
        <v>5278.4250000000002</v>
      </c>
      <c r="I64">
        <v>0.34866256012150876</v>
      </c>
      <c r="J64">
        <v>0.83501456282612774</v>
      </c>
      <c r="K64">
        <f t="shared" si="0"/>
        <v>0.29113831521370009</v>
      </c>
    </row>
    <row r="65" spans="1:11" x14ac:dyDescent="0.25">
      <c r="A65" s="2">
        <v>45201</v>
      </c>
      <c r="B65">
        <v>126.825</v>
      </c>
      <c r="C65">
        <v>232812</v>
      </c>
      <c r="D65">
        <v>5413.7249999999995</v>
      </c>
      <c r="I65">
        <v>0.4280651421820944</v>
      </c>
      <c r="J65">
        <v>0.84129049043840243</v>
      </c>
      <c r="K65">
        <f t="shared" si="0"/>
        <v>0.36012713340595864</v>
      </c>
    </row>
    <row r="66" spans="1:11" x14ac:dyDescent="0.25">
      <c r="A66" s="2">
        <v>45208</v>
      </c>
      <c r="B66">
        <v>132.80000000000001</v>
      </c>
      <c r="C66">
        <v>237389</v>
      </c>
      <c r="D66">
        <v>5474.9500000000007</v>
      </c>
      <c r="I66">
        <v>0.44823221669057473</v>
      </c>
      <c r="J66">
        <v>0.85782995822673191</v>
      </c>
      <c r="K66">
        <f t="shared" si="0"/>
        <v>0.38450702371955114</v>
      </c>
    </row>
    <row r="67" spans="1:11" x14ac:dyDescent="0.25">
      <c r="A67" s="2">
        <v>45215</v>
      </c>
      <c r="B67">
        <v>100.25</v>
      </c>
      <c r="C67">
        <v>234887.25</v>
      </c>
      <c r="D67">
        <v>5425.5</v>
      </c>
      <c r="I67">
        <v>0.338368070205046</v>
      </c>
      <c r="J67">
        <v>0.84878962317332285</v>
      </c>
      <c r="K67">
        <f t="shared" ref="K67:K130" si="1">I67*J67</f>
        <v>0.28720330680322542</v>
      </c>
    </row>
    <row r="68" spans="1:11" x14ac:dyDescent="0.25">
      <c r="A68" s="2">
        <v>45222</v>
      </c>
      <c r="B68">
        <v>157.05000000000001</v>
      </c>
      <c r="C68">
        <v>229690.75</v>
      </c>
      <c r="D68">
        <v>5459.9</v>
      </c>
      <c r="I68">
        <v>0.53008184963294247</v>
      </c>
      <c r="J68">
        <v>0.83001152739834927</v>
      </c>
      <c r="K68">
        <f t="shared" si="1"/>
        <v>0.43997404565998066</v>
      </c>
    </row>
    <row r="69" spans="1:11" x14ac:dyDescent="0.25">
      <c r="A69" s="2">
        <v>45229</v>
      </c>
      <c r="B69">
        <v>188.25</v>
      </c>
      <c r="C69">
        <v>220164.75</v>
      </c>
      <c r="D69">
        <v>5597.85</v>
      </c>
      <c r="I69">
        <v>0.63538941861446296</v>
      </c>
      <c r="J69">
        <v>0.79558833094835424</v>
      </c>
      <c r="K69">
        <f t="shared" si="1"/>
        <v>0.50550840705772571</v>
      </c>
    </row>
    <row r="70" spans="1:11" x14ac:dyDescent="0.25">
      <c r="A70" s="2">
        <v>45236</v>
      </c>
      <c r="B70">
        <v>190.47499999999999</v>
      </c>
      <c r="C70">
        <v>218533.5</v>
      </c>
      <c r="D70">
        <v>5851.3499999999995</v>
      </c>
      <c r="I70">
        <v>0.64289933338958738</v>
      </c>
      <c r="J70">
        <v>0.78969363861064124</v>
      </c>
      <c r="K70">
        <f t="shared" si="1"/>
        <v>0.50769351384477901</v>
      </c>
    </row>
    <row r="71" spans="1:11" x14ac:dyDescent="0.25">
      <c r="A71" s="2">
        <v>45243</v>
      </c>
      <c r="B71">
        <v>201.375</v>
      </c>
      <c r="C71">
        <v>226476.5</v>
      </c>
      <c r="D71">
        <v>6141.1750000000002</v>
      </c>
      <c r="I71">
        <v>0.67968947768120835</v>
      </c>
      <c r="J71">
        <v>0.81839649913996204</v>
      </c>
      <c r="K71">
        <f t="shared" si="1"/>
        <v>0.55625548903657029</v>
      </c>
    </row>
    <row r="72" spans="1:11" x14ac:dyDescent="0.25">
      <c r="A72" s="2">
        <v>45250</v>
      </c>
      <c r="B72">
        <v>177.57499999999999</v>
      </c>
      <c r="C72">
        <v>223833.5</v>
      </c>
      <c r="D72">
        <v>6097.05</v>
      </c>
      <c r="I72">
        <v>0.59935870390684332</v>
      </c>
      <c r="J72">
        <v>0.80884574245118013</v>
      </c>
      <c r="K72">
        <f t="shared" si="1"/>
        <v>0.48478873585610771</v>
      </c>
    </row>
    <row r="73" spans="1:11" x14ac:dyDescent="0.25">
      <c r="A73" s="2">
        <v>45257</v>
      </c>
      <c r="B73">
        <v>167.2</v>
      </c>
      <c r="C73">
        <v>225631</v>
      </c>
      <c r="D73">
        <v>5975.55</v>
      </c>
      <c r="I73">
        <v>0.56434056197789217</v>
      </c>
      <c r="J73">
        <v>0.81534119653672132</v>
      </c>
      <c r="K73">
        <f t="shared" si="1"/>
        <v>0.46013010905726037</v>
      </c>
    </row>
    <row r="74" spans="1:11" x14ac:dyDescent="0.25">
      <c r="A74" s="2">
        <v>45264</v>
      </c>
      <c r="B74">
        <v>130.97499999999999</v>
      </c>
      <c r="C74">
        <v>226517.75</v>
      </c>
      <c r="D74">
        <v>5768.5999999999995</v>
      </c>
      <c r="I74">
        <v>0.44207239895367478</v>
      </c>
      <c r="J74">
        <v>0.8185455603255134</v>
      </c>
      <c r="K74">
        <f t="shared" si="1"/>
        <v>0.36185639950597964</v>
      </c>
    </row>
    <row r="75" spans="1:11" x14ac:dyDescent="0.25">
      <c r="A75" s="2">
        <v>45271</v>
      </c>
      <c r="B75">
        <v>129.67500000000001</v>
      </c>
      <c r="C75">
        <v>224364</v>
      </c>
      <c r="D75">
        <v>5910.125</v>
      </c>
      <c r="I75">
        <v>0.43768458357944484</v>
      </c>
      <c r="J75">
        <v>0.81076275963748312</v>
      </c>
      <c r="K75">
        <f t="shared" si="1"/>
        <v>0.35485836083365335</v>
      </c>
    </row>
    <row r="76" spans="1:11" x14ac:dyDescent="0.25">
      <c r="A76" s="2">
        <v>45278</v>
      </c>
      <c r="B76">
        <v>117.825</v>
      </c>
      <c r="C76">
        <v>225983.5</v>
      </c>
      <c r="D76">
        <v>5991.6750000000002</v>
      </c>
      <c r="I76">
        <v>0.39768795882204039</v>
      </c>
      <c r="J76">
        <v>0.81661499212234212</v>
      </c>
      <c r="K76">
        <f t="shared" si="1"/>
        <v>0.32475794936061081</v>
      </c>
    </row>
    <row r="77" spans="1:11" x14ac:dyDescent="0.25">
      <c r="A77" s="2">
        <v>45285</v>
      </c>
      <c r="B77">
        <v>94.274999999999991</v>
      </c>
      <c r="C77">
        <v>226335.25</v>
      </c>
      <c r="D77">
        <v>6104.9</v>
      </c>
      <c r="I77">
        <v>0.31820099569656568</v>
      </c>
      <c r="J77">
        <v>0.81788607750458919</v>
      </c>
      <c r="K77">
        <f t="shared" si="1"/>
        <v>0.26025216422831876</v>
      </c>
    </row>
    <row r="78" spans="1:11" x14ac:dyDescent="0.25">
      <c r="A78" s="2">
        <v>45292</v>
      </c>
      <c r="B78">
        <v>59.075000000000003</v>
      </c>
      <c r="C78">
        <v>242668</v>
      </c>
      <c r="D78">
        <v>5967.9250000000002</v>
      </c>
      <c r="I78">
        <v>0.19939245633279895</v>
      </c>
      <c r="J78">
        <v>0.87690617637280832</v>
      </c>
      <c r="K78">
        <f t="shared" si="1"/>
        <v>0.17484847648037688</v>
      </c>
    </row>
    <row r="79" spans="1:11" x14ac:dyDescent="0.25">
      <c r="A79" s="2">
        <v>45299</v>
      </c>
      <c r="B79">
        <v>64.8</v>
      </c>
      <c r="C79">
        <v>252542.5</v>
      </c>
      <c r="D79">
        <v>5784.7</v>
      </c>
      <c r="I79">
        <v>0.21871572019238883</v>
      </c>
      <c r="J79">
        <v>0.91258871399043107</v>
      </c>
      <c r="K79">
        <f t="shared" si="1"/>
        <v>0.19959749781986308</v>
      </c>
    </row>
    <row r="80" spans="1:11" x14ac:dyDescent="0.25">
      <c r="A80" s="2">
        <v>45306</v>
      </c>
      <c r="B80">
        <v>54</v>
      </c>
      <c r="C80">
        <v>254270.75</v>
      </c>
      <c r="D80">
        <v>5765.375</v>
      </c>
      <c r="I80">
        <v>0.18226310016032404</v>
      </c>
      <c r="J80">
        <v>0.91883392596447089</v>
      </c>
      <c r="K80">
        <f t="shared" si="1"/>
        <v>0.16746951987876613</v>
      </c>
    </row>
    <row r="81" spans="1:11" x14ac:dyDescent="0.25">
      <c r="A81" s="2">
        <v>45313</v>
      </c>
      <c r="B81">
        <v>54</v>
      </c>
      <c r="C81">
        <v>267029</v>
      </c>
      <c r="D81">
        <v>5840.5749999999998</v>
      </c>
      <c r="I81">
        <v>0.18226310016032404</v>
      </c>
      <c r="J81">
        <v>0.96493719555382096</v>
      </c>
      <c r="K81">
        <f t="shared" si="1"/>
        <v>0.17587244472164826</v>
      </c>
    </row>
    <row r="82" spans="1:11" x14ac:dyDescent="0.25">
      <c r="A82" s="2">
        <v>45320</v>
      </c>
      <c r="B82">
        <v>63.474999999999987</v>
      </c>
      <c r="C82">
        <v>265424.75</v>
      </c>
      <c r="D82">
        <v>6144.25</v>
      </c>
      <c r="I82">
        <v>0.21424352375326974</v>
      </c>
      <c r="J82">
        <v>0.95914007053755979</v>
      </c>
      <c r="K82">
        <f t="shared" si="1"/>
        <v>0.20548954848492651</v>
      </c>
    </row>
    <row r="83" spans="1:11" x14ac:dyDescent="0.25">
      <c r="A83" s="2">
        <v>45327</v>
      </c>
      <c r="B83">
        <v>82.6</v>
      </c>
      <c r="C83">
        <v>258239.25</v>
      </c>
      <c r="D83">
        <v>5978.125</v>
      </c>
      <c r="I83">
        <v>0.27879503839338454</v>
      </c>
      <c r="J83">
        <v>0.93317451541563678</v>
      </c>
      <c r="K83">
        <f t="shared" si="1"/>
        <v>0.26016442485303048</v>
      </c>
    </row>
    <row r="84" spans="1:11" x14ac:dyDescent="0.25">
      <c r="A84" s="2">
        <v>45334</v>
      </c>
      <c r="B84">
        <v>55.724999999999987</v>
      </c>
      <c r="C84">
        <v>262936.75</v>
      </c>
      <c r="D84">
        <v>5943.55</v>
      </c>
      <c r="I84">
        <v>0.18808539363766769</v>
      </c>
      <c r="J84">
        <v>0.9501494225460011</v>
      </c>
      <c r="K84">
        <f t="shared" si="1"/>
        <v>0.17870922815416726</v>
      </c>
    </row>
    <row r="85" spans="1:11" x14ac:dyDescent="0.25">
      <c r="A85" s="2">
        <v>45341</v>
      </c>
      <c r="B85">
        <v>43.375</v>
      </c>
      <c r="C85">
        <v>276732</v>
      </c>
      <c r="D85">
        <v>5770.375</v>
      </c>
      <c r="I85">
        <v>0.14640114758248252</v>
      </c>
      <c r="J85">
        <v>1</v>
      </c>
      <c r="K85">
        <f t="shared" si="1"/>
        <v>0.14640114758248252</v>
      </c>
    </row>
    <row r="86" spans="1:11" x14ac:dyDescent="0.25">
      <c r="A86" s="2">
        <v>45348</v>
      </c>
      <c r="B86">
        <v>44.875</v>
      </c>
      <c r="C86">
        <v>271848.5</v>
      </c>
      <c r="D86">
        <v>5726.0250000000005</v>
      </c>
      <c r="I86">
        <v>0.15146401147582483</v>
      </c>
      <c r="J86">
        <v>0.98235296243296755</v>
      </c>
      <c r="K86">
        <f t="shared" si="1"/>
        <v>0.14879112037525752</v>
      </c>
    </row>
    <row r="87" spans="1:11" x14ac:dyDescent="0.25">
      <c r="A87" s="2">
        <v>45355</v>
      </c>
      <c r="B87">
        <v>38.25</v>
      </c>
      <c r="C87">
        <v>260605.75</v>
      </c>
      <c r="D87">
        <v>5958.3</v>
      </c>
      <c r="I87">
        <v>0.12910302928022951</v>
      </c>
      <c r="J87">
        <v>0.94172611046066224</v>
      </c>
      <c r="K87">
        <f t="shared" si="1"/>
        <v>0.12157969361275953</v>
      </c>
    </row>
    <row r="88" spans="1:11" x14ac:dyDescent="0.25">
      <c r="A88" s="2">
        <v>45362</v>
      </c>
      <c r="B88">
        <v>37.15</v>
      </c>
      <c r="C88">
        <v>247545.75</v>
      </c>
      <c r="D88">
        <v>6193.5749999999998</v>
      </c>
      <c r="I88">
        <v>0.12539026242511181</v>
      </c>
      <c r="J88">
        <v>0.89453243571397589</v>
      </c>
      <c r="K88">
        <f t="shared" si="1"/>
        <v>0.1121656568619499</v>
      </c>
    </row>
    <row r="89" spans="1:11" x14ac:dyDescent="0.25">
      <c r="A89" s="2">
        <v>45369</v>
      </c>
      <c r="B89">
        <v>38.799999999999997</v>
      </c>
      <c r="C89">
        <v>243969.75</v>
      </c>
      <c r="D89">
        <v>6439.4750000000004</v>
      </c>
      <c r="I89">
        <v>0.13095941270778838</v>
      </c>
      <c r="J89">
        <v>0.8816101860283595</v>
      </c>
      <c r="K89">
        <f t="shared" si="1"/>
        <v>0.11545515219947802</v>
      </c>
    </row>
    <row r="90" spans="1:11" x14ac:dyDescent="0.25">
      <c r="A90" s="2">
        <v>45376</v>
      </c>
      <c r="B90">
        <v>40.1</v>
      </c>
      <c r="C90">
        <v>235278</v>
      </c>
      <c r="D90">
        <v>6316.9250000000002</v>
      </c>
      <c r="I90">
        <v>0.13534722808201841</v>
      </c>
      <c r="J90">
        <v>0.85020163913100022</v>
      </c>
      <c r="K90">
        <f t="shared" si="1"/>
        <v>0.11507243516716939</v>
      </c>
    </row>
    <row r="91" spans="1:11" x14ac:dyDescent="0.25">
      <c r="A91" s="2">
        <v>45383</v>
      </c>
      <c r="B91">
        <v>18.850000000000001</v>
      </c>
      <c r="C91">
        <v>233199.75</v>
      </c>
      <c r="D91">
        <v>6429.25</v>
      </c>
      <c r="I91">
        <v>6.3623322926335338E-2</v>
      </c>
      <c r="J91">
        <v>0.84269166558258524</v>
      </c>
      <c r="K91">
        <f t="shared" si="1"/>
        <v>5.3614843966692208E-2</v>
      </c>
    </row>
    <row r="92" spans="1:11" x14ac:dyDescent="0.25">
      <c r="A92" s="2">
        <v>45390</v>
      </c>
      <c r="B92">
        <v>18.850000000000001</v>
      </c>
      <c r="C92">
        <v>242974</v>
      </c>
      <c r="D92">
        <v>6472.55</v>
      </c>
      <c r="I92">
        <v>6.3623322926335338E-2</v>
      </c>
      <c r="J92">
        <v>0.87801193934926203</v>
      </c>
      <c r="K92">
        <f t="shared" si="1"/>
        <v>5.5862037150396053E-2</v>
      </c>
    </row>
    <row r="93" spans="1:11" x14ac:dyDescent="0.25">
      <c r="A93" s="2">
        <v>45397</v>
      </c>
      <c r="B93">
        <v>42.674999999999997</v>
      </c>
      <c r="C93">
        <v>236116.75</v>
      </c>
      <c r="D93">
        <v>6675.2250000000004</v>
      </c>
      <c r="I93">
        <v>0.1440384777655894</v>
      </c>
      <c r="J93">
        <v>0.85323254990387798</v>
      </c>
      <c r="K93">
        <f t="shared" si="1"/>
        <v>0.12289831766820687</v>
      </c>
    </row>
    <row r="94" spans="1:11" x14ac:dyDescent="0.25">
      <c r="A94" s="2">
        <v>45404</v>
      </c>
      <c r="B94">
        <v>59.75</v>
      </c>
      <c r="C94">
        <v>223603.75</v>
      </c>
      <c r="D94">
        <v>6896.7749999999996</v>
      </c>
      <c r="I94">
        <v>0.20167074508480298</v>
      </c>
      <c r="J94">
        <v>0.80801551681771522</v>
      </c>
      <c r="K94">
        <f t="shared" si="1"/>
        <v>0.16295309131671079</v>
      </c>
    </row>
    <row r="95" spans="1:11" x14ac:dyDescent="0.25">
      <c r="A95" s="2">
        <v>45411</v>
      </c>
      <c r="B95">
        <v>88.35</v>
      </c>
      <c r="C95">
        <v>217403.5</v>
      </c>
      <c r="D95">
        <v>6802.625</v>
      </c>
      <c r="I95">
        <v>0.29820268331786348</v>
      </c>
      <c r="J95">
        <v>0.78561026552765845</v>
      </c>
      <c r="K95">
        <f t="shared" si="1"/>
        <v>0.23427108922240697</v>
      </c>
    </row>
    <row r="96" spans="1:11" x14ac:dyDescent="0.25">
      <c r="A96" s="2">
        <v>45418</v>
      </c>
      <c r="B96">
        <v>130.44999999999999</v>
      </c>
      <c r="C96">
        <v>215560.25</v>
      </c>
      <c r="D96">
        <v>6853.2250000000004</v>
      </c>
      <c r="I96">
        <v>0.44030039659100495</v>
      </c>
      <c r="J96">
        <v>0.77894948903632388</v>
      </c>
      <c r="K96">
        <f t="shared" si="1"/>
        <v>0.34297176894705406</v>
      </c>
    </row>
    <row r="97" spans="1:11" x14ac:dyDescent="0.25">
      <c r="A97" s="2">
        <v>45425</v>
      </c>
      <c r="B97">
        <v>138.52500000000001</v>
      </c>
      <c r="C97">
        <v>215349.25</v>
      </c>
      <c r="D97">
        <v>6787.7749999999996</v>
      </c>
      <c r="I97">
        <v>0.4675554805501646</v>
      </c>
      <c r="J97">
        <v>0.77818701848720062</v>
      </c>
      <c r="K97">
        <f t="shared" si="1"/>
        <v>0.36384560538668292</v>
      </c>
    </row>
    <row r="98" spans="1:11" x14ac:dyDescent="0.25">
      <c r="A98" s="2">
        <v>45432</v>
      </c>
      <c r="B98">
        <v>141.625</v>
      </c>
      <c r="C98">
        <v>203391.25</v>
      </c>
      <c r="D98">
        <v>6845.4750000000004</v>
      </c>
      <c r="I98">
        <v>0.47801873259640543</v>
      </c>
      <c r="J98">
        <v>0.73497553589754705</v>
      </c>
      <c r="K98">
        <f t="shared" si="1"/>
        <v>0.35133207415910933</v>
      </c>
    </row>
    <row r="99" spans="1:11" x14ac:dyDescent="0.25">
      <c r="A99" s="2">
        <v>45439</v>
      </c>
      <c r="B99">
        <v>161.875</v>
      </c>
      <c r="C99">
        <v>202571.5</v>
      </c>
      <c r="D99">
        <v>6890.625</v>
      </c>
      <c r="I99">
        <v>0.54636739515652688</v>
      </c>
      <c r="J99">
        <v>0.73201328361013529</v>
      </c>
      <c r="K99">
        <f t="shared" si="1"/>
        <v>0.39994819098604556</v>
      </c>
    </row>
    <row r="100" spans="1:11" x14ac:dyDescent="0.25">
      <c r="A100" s="2">
        <v>45446</v>
      </c>
      <c r="B100">
        <v>178.42500000000001</v>
      </c>
      <c r="C100">
        <v>198492.5</v>
      </c>
      <c r="D100">
        <v>6881.15</v>
      </c>
      <c r="I100">
        <v>0.60222766011307072</v>
      </c>
      <c r="J100">
        <v>0.71727339086191688</v>
      </c>
      <c r="K100">
        <f t="shared" si="1"/>
        <v>0.43196187584014023</v>
      </c>
    </row>
    <row r="101" spans="1:11" x14ac:dyDescent="0.25">
      <c r="A101" s="2">
        <v>45453</v>
      </c>
      <c r="B101">
        <v>201.82499999999999</v>
      </c>
      <c r="C101">
        <v>173718</v>
      </c>
      <c r="D101">
        <v>6320.9250000000002</v>
      </c>
      <c r="I101">
        <v>0.681208336849211</v>
      </c>
      <c r="J101">
        <v>0.62774814622089237</v>
      </c>
      <c r="K101">
        <f t="shared" si="1"/>
        <v>0.42762727064730943</v>
      </c>
    </row>
    <row r="102" spans="1:11" x14ac:dyDescent="0.25">
      <c r="A102" s="2">
        <v>45460</v>
      </c>
      <c r="B102">
        <v>198.22499999999999</v>
      </c>
      <c r="C102">
        <v>170984</v>
      </c>
      <c r="D102">
        <v>6025.375</v>
      </c>
      <c r="I102">
        <v>0.66905746350518946</v>
      </c>
      <c r="J102">
        <v>0.61786855152277287</v>
      </c>
      <c r="K102">
        <f t="shared" si="1"/>
        <v>0.41338956586145187</v>
      </c>
    </row>
    <row r="103" spans="1:11" x14ac:dyDescent="0.25">
      <c r="A103" s="2">
        <v>45467</v>
      </c>
      <c r="B103">
        <v>178.7</v>
      </c>
      <c r="C103">
        <v>171337.75</v>
      </c>
      <c r="D103">
        <v>5828.7250000000004</v>
      </c>
      <c r="I103">
        <v>0.60315585182685005</v>
      </c>
      <c r="J103">
        <v>0.61914686411401643</v>
      </c>
      <c r="K103">
        <f t="shared" si="1"/>
        <v>0.37344205423061255</v>
      </c>
    </row>
    <row r="104" spans="1:11" x14ac:dyDescent="0.25">
      <c r="A104" s="2">
        <v>45474</v>
      </c>
      <c r="B104">
        <v>174.3</v>
      </c>
      <c r="C104">
        <v>172034</v>
      </c>
      <c r="D104">
        <v>5639.6</v>
      </c>
      <c r="I104">
        <v>0.58830478440637934</v>
      </c>
      <c r="J104">
        <v>0.62166283624589846</v>
      </c>
      <c r="K104">
        <f t="shared" si="1"/>
        <v>0.3657272208511016</v>
      </c>
    </row>
    <row r="105" spans="1:11" x14ac:dyDescent="0.25">
      <c r="A105" s="2">
        <v>45509</v>
      </c>
      <c r="B105">
        <v>154.875</v>
      </c>
      <c r="C105">
        <v>175835.5</v>
      </c>
      <c r="D105">
        <v>4964.1750000000002</v>
      </c>
      <c r="I105">
        <v>0.52274069698759607</v>
      </c>
      <c r="J105">
        <v>0.63539995374586233</v>
      </c>
      <c r="K105">
        <f t="shared" si="1"/>
        <v>0.33214941468699838</v>
      </c>
    </row>
    <row r="106" spans="1:11" x14ac:dyDescent="0.25">
      <c r="A106" s="2">
        <v>45516</v>
      </c>
      <c r="B106">
        <v>132.35</v>
      </c>
      <c r="C106">
        <v>178857</v>
      </c>
      <c r="D106">
        <v>4795.25</v>
      </c>
      <c r="I106">
        <v>0.44671335752257196</v>
      </c>
      <c r="J106">
        <v>0.64631845973721858</v>
      </c>
      <c r="K106">
        <f t="shared" si="1"/>
        <v>0.28871908917803013</v>
      </c>
    </row>
    <row r="107" spans="1:11" x14ac:dyDescent="0.25">
      <c r="A107" s="2">
        <v>45523</v>
      </c>
      <c r="B107">
        <v>128.44999999999999</v>
      </c>
      <c r="C107">
        <v>175505</v>
      </c>
      <c r="D107">
        <v>4585.375</v>
      </c>
      <c r="I107">
        <v>0.43354991139988186</v>
      </c>
      <c r="J107">
        <v>0.63420565745920232</v>
      </c>
      <c r="K107">
        <f t="shared" si="1"/>
        <v>0.27495980660074099</v>
      </c>
    </row>
    <row r="108" spans="1:11" x14ac:dyDescent="0.25">
      <c r="A108" s="2">
        <v>45530</v>
      </c>
      <c r="B108">
        <v>94.9</v>
      </c>
      <c r="C108">
        <v>185839.75</v>
      </c>
      <c r="D108">
        <v>4415.4750000000004</v>
      </c>
      <c r="I108">
        <v>0.3203105223187917</v>
      </c>
      <c r="J108">
        <v>0.67155135654712861</v>
      </c>
      <c r="K108">
        <f t="shared" si="1"/>
        <v>0.21510496577950389</v>
      </c>
    </row>
    <row r="109" spans="1:11" x14ac:dyDescent="0.25">
      <c r="A109" s="2">
        <v>45537</v>
      </c>
      <c r="B109">
        <v>83.125</v>
      </c>
      <c r="C109">
        <v>189373.75</v>
      </c>
      <c r="D109">
        <v>4905.8249999999998</v>
      </c>
      <c r="I109">
        <v>0.28056704075605438</v>
      </c>
      <c r="J109">
        <v>0.68432183484381992</v>
      </c>
      <c r="K109">
        <f t="shared" si="1"/>
        <v>0.19199815212688393</v>
      </c>
    </row>
    <row r="110" spans="1:11" x14ac:dyDescent="0.25">
      <c r="A110" s="2">
        <v>45544</v>
      </c>
      <c r="B110">
        <v>66.549999999999983</v>
      </c>
      <c r="C110">
        <v>205844.25</v>
      </c>
      <c r="D110">
        <v>5086.8250000000007</v>
      </c>
      <c r="I110">
        <v>0.22462239473462151</v>
      </c>
      <c r="J110">
        <v>0.74383970773166808</v>
      </c>
      <c r="K110">
        <f t="shared" si="1"/>
        <v>0.16708305644938823</v>
      </c>
    </row>
    <row r="111" spans="1:11" x14ac:dyDescent="0.25">
      <c r="A111" s="2">
        <v>45551</v>
      </c>
      <c r="B111">
        <v>31.4</v>
      </c>
      <c r="C111">
        <v>219091.75</v>
      </c>
      <c r="D111">
        <v>5268.2749999999996</v>
      </c>
      <c r="I111">
        <v>0.10598261750063286</v>
      </c>
      <c r="J111">
        <v>0.79171093332176967</v>
      </c>
      <c r="K111">
        <f t="shared" si="1"/>
        <v>8.3907597017310154E-2</v>
      </c>
    </row>
    <row r="112" spans="1:11" x14ac:dyDescent="0.25">
      <c r="A112" s="2">
        <v>45558</v>
      </c>
      <c r="B112">
        <v>45.975000000000001</v>
      </c>
      <c r="C112">
        <v>228351.5</v>
      </c>
      <c r="D112">
        <v>5123.3499999999995</v>
      </c>
      <c r="I112">
        <v>0.15517677833094257</v>
      </c>
      <c r="J112">
        <v>0.82517200757411491</v>
      </c>
      <c r="K112">
        <f t="shared" si="1"/>
        <v>0.12804753370422728</v>
      </c>
    </row>
    <row r="113" spans="1:11" x14ac:dyDescent="0.25">
      <c r="A113" s="2">
        <v>45565</v>
      </c>
      <c r="B113">
        <v>49.174999999999997</v>
      </c>
      <c r="C113">
        <v>233790.75</v>
      </c>
      <c r="D113">
        <v>5553.6500000000005</v>
      </c>
      <c r="I113">
        <v>0.16597755463673952</v>
      </c>
      <c r="J113">
        <v>0.84482730584103027</v>
      </c>
      <c r="K113">
        <f t="shared" si="1"/>
        <v>0.14022237031383905</v>
      </c>
    </row>
    <row r="114" spans="1:11" x14ac:dyDescent="0.25">
      <c r="A114" s="2">
        <v>45572</v>
      </c>
      <c r="B114">
        <v>76.525000000000006</v>
      </c>
      <c r="C114">
        <v>235176</v>
      </c>
      <c r="D114">
        <v>5569.6750000000002</v>
      </c>
      <c r="I114">
        <v>0.25829043962534809</v>
      </c>
      <c r="J114">
        <v>0.84983305147218235</v>
      </c>
      <c r="K114">
        <f t="shared" si="1"/>
        <v>0.21950375247290105</v>
      </c>
    </row>
    <row r="115" spans="1:11" x14ac:dyDescent="0.25">
      <c r="A115" s="2">
        <v>45579</v>
      </c>
      <c r="B115">
        <v>84.125</v>
      </c>
      <c r="C115">
        <v>244599</v>
      </c>
      <c r="D115">
        <v>5783.0749999999998</v>
      </c>
      <c r="I115">
        <v>0.28394228335161592</v>
      </c>
      <c r="J115">
        <v>0.88388404665886111</v>
      </c>
      <c r="K115">
        <f t="shared" si="1"/>
        <v>0.25097205442638326</v>
      </c>
    </row>
    <row r="116" spans="1:11" x14ac:dyDescent="0.25">
      <c r="A116" s="2">
        <v>45586</v>
      </c>
      <c r="B116">
        <v>123.8</v>
      </c>
      <c r="C116">
        <v>249275.75</v>
      </c>
      <c r="D116">
        <v>5916.0249999999996</v>
      </c>
      <c r="I116">
        <v>0.41785503333052065</v>
      </c>
      <c r="J116">
        <v>0.90078397149588763</v>
      </c>
      <c r="K116">
        <f t="shared" si="1"/>
        <v>0.37639711643301288</v>
      </c>
    </row>
    <row r="117" spans="1:11" x14ac:dyDescent="0.25">
      <c r="A117" s="2">
        <v>45593</v>
      </c>
      <c r="B117">
        <v>141.57499999999999</v>
      </c>
      <c r="C117">
        <v>246998.25</v>
      </c>
      <c r="D117">
        <v>5906.1750000000002</v>
      </c>
      <c r="I117">
        <v>0.47784997046662731</v>
      </c>
      <c r="J117">
        <v>0.89255398725120327</v>
      </c>
      <c r="K117">
        <f t="shared" si="1"/>
        <v>0.42650689644785794</v>
      </c>
    </row>
    <row r="118" spans="1:11" x14ac:dyDescent="0.25">
      <c r="A118" s="2">
        <v>45600</v>
      </c>
      <c r="B118">
        <v>171.625</v>
      </c>
      <c r="C118">
        <v>242980.25</v>
      </c>
      <c r="D118">
        <v>5821.15</v>
      </c>
      <c r="I118">
        <v>0.57927601046325206</v>
      </c>
      <c r="J118">
        <v>0.87803452437737595</v>
      </c>
      <c r="K118">
        <f t="shared" si="1"/>
        <v>0.50862433633032533</v>
      </c>
    </row>
    <row r="119" spans="1:11" x14ac:dyDescent="0.25">
      <c r="A119" s="2">
        <v>45607</v>
      </c>
      <c r="B119">
        <v>193.57499999999999</v>
      </c>
      <c r="C119">
        <v>229848.5</v>
      </c>
      <c r="D119">
        <v>5701</v>
      </c>
      <c r="I119">
        <v>0.65336258543582826</v>
      </c>
      <c r="J119">
        <v>0.83058157350794259</v>
      </c>
      <c r="K119">
        <f t="shared" si="1"/>
        <v>0.54267092428250785</v>
      </c>
    </row>
    <row r="120" spans="1:11" x14ac:dyDescent="0.25">
      <c r="A120" s="2">
        <v>45614</v>
      </c>
      <c r="B120">
        <v>263.57499999999999</v>
      </c>
      <c r="C120">
        <v>226183</v>
      </c>
      <c r="D120">
        <v>5791.0249999999996</v>
      </c>
      <c r="I120">
        <v>0.88962956712513719</v>
      </c>
      <c r="J120">
        <v>0.81733590621973595</v>
      </c>
      <c r="K120">
        <f t="shared" si="1"/>
        <v>0.72712618844609544</v>
      </c>
    </row>
    <row r="121" spans="1:11" x14ac:dyDescent="0.25">
      <c r="A121" s="2">
        <v>45621</v>
      </c>
      <c r="B121">
        <v>235.72499999999999</v>
      </c>
      <c r="C121">
        <v>228991.25</v>
      </c>
      <c r="D121">
        <v>5716.8499999999995</v>
      </c>
      <c r="I121">
        <v>0.79562906083874785</v>
      </c>
      <c r="J121">
        <v>0.82748381105184798</v>
      </c>
      <c r="K121">
        <f t="shared" si="1"/>
        <v>0.65837016744644972</v>
      </c>
    </row>
    <row r="122" spans="1:11" x14ac:dyDescent="0.25">
      <c r="A122" s="2">
        <v>45628</v>
      </c>
      <c r="B122">
        <v>201.77500000000001</v>
      </c>
      <c r="C122">
        <v>232188</v>
      </c>
      <c r="D122">
        <v>5802.5499999999993</v>
      </c>
      <c r="I122">
        <v>0.68103957471943299</v>
      </c>
      <c r="J122">
        <v>0.83903560123151633</v>
      </c>
      <c r="K122">
        <f t="shared" si="1"/>
        <v>0.5714164490371757</v>
      </c>
    </row>
    <row r="123" spans="1:11" x14ac:dyDescent="0.25">
      <c r="A123" s="2">
        <v>45635</v>
      </c>
      <c r="B123">
        <v>195.52500000000001</v>
      </c>
      <c r="C123">
        <v>233028.5</v>
      </c>
      <c r="D123">
        <v>5548.8249999999998</v>
      </c>
      <c r="I123">
        <v>0.65994430849717334</v>
      </c>
      <c r="J123">
        <v>0.842072835812266</v>
      </c>
      <c r="K123">
        <f t="shared" si="1"/>
        <v>0.5557211753343797</v>
      </c>
    </row>
    <row r="124" spans="1:11" x14ac:dyDescent="0.25">
      <c r="A124" s="2">
        <v>45642</v>
      </c>
      <c r="B124">
        <v>181.5</v>
      </c>
      <c r="C124">
        <v>225277</v>
      </c>
      <c r="D124">
        <v>5344.7749999999996</v>
      </c>
      <c r="I124">
        <v>0.61260653109442242</v>
      </c>
      <c r="J124">
        <v>0.8140619805443533</v>
      </c>
      <c r="K124">
        <f t="shared" si="1"/>
        <v>0.49869968599713149</v>
      </c>
    </row>
    <row r="125" spans="1:11" x14ac:dyDescent="0.25">
      <c r="A125" s="2">
        <v>45649</v>
      </c>
      <c r="B125">
        <v>171.42500000000001</v>
      </c>
      <c r="C125">
        <v>224863</v>
      </c>
      <c r="D125">
        <v>5276.65</v>
      </c>
      <c r="I125">
        <v>0.57860096194413979</v>
      </c>
      <c r="J125">
        <v>0.81256594828209239</v>
      </c>
      <c r="K125">
        <f t="shared" si="1"/>
        <v>0.47015143931907077</v>
      </c>
    </row>
    <row r="126" spans="1:11" x14ac:dyDescent="0.25">
      <c r="A126" s="2">
        <v>45656</v>
      </c>
      <c r="B126">
        <v>152.9</v>
      </c>
      <c r="C126">
        <v>222317.5</v>
      </c>
      <c r="D126">
        <v>5173.2</v>
      </c>
      <c r="I126">
        <v>0.51607459286136192</v>
      </c>
      <c r="J126">
        <v>0.80336751803188633</v>
      </c>
      <c r="K126">
        <f t="shared" si="1"/>
        <v>0.41459756478634857</v>
      </c>
    </row>
    <row r="127" spans="1:11" x14ac:dyDescent="0.25">
      <c r="A127" s="2">
        <v>45663</v>
      </c>
      <c r="B127">
        <v>133.69999999999999</v>
      </c>
      <c r="C127">
        <v>233778.5</v>
      </c>
      <c r="D127">
        <v>5171.2249999999995</v>
      </c>
      <c r="I127">
        <v>0.45126993502658003</v>
      </c>
      <c r="J127">
        <v>0.84478303918592712</v>
      </c>
      <c r="K127">
        <f t="shared" si="1"/>
        <v>0.38122518720499016</v>
      </c>
    </row>
    <row r="128" spans="1:11" x14ac:dyDescent="0.25">
      <c r="A128" s="2">
        <v>45670</v>
      </c>
      <c r="B128">
        <v>75.775000000000006</v>
      </c>
      <c r="C128">
        <v>248792.75</v>
      </c>
      <c r="D128">
        <v>4964.2249999999995</v>
      </c>
      <c r="I128">
        <v>0.25575900767867693</v>
      </c>
      <c r="J128">
        <v>0.89903860052324991</v>
      </c>
      <c r="K128">
        <f t="shared" si="1"/>
        <v>0.22993722033465283</v>
      </c>
    </row>
    <row r="129" spans="1:11" x14ac:dyDescent="0.25">
      <c r="A129" s="2">
        <v>45677</v>
      </c>
      <c r="B129">
        <v>33.375</v>
      </c>
      <c r="C129">
        <v>257347</v>
      </c>
      <c r="D129">
        <v>4870.1000000000004</v>
      </c>
      <c r="I129">
        <v>0.11264872162686694</v>
      </c>
      <c r="J129">
        <v>0.9299502768021044</v>
      </c>
      <c r="K129">
        <f t="shared" si="1"/>
        <v>0.10475770985830811</v>
      </c>
    </row>
    <row r="130" spans="1:11" x14ac:dyDescent="0.25">
      <c r="A130" s="2">
        <v>45684</v>
      </c>
      <c r="B130">
        <v>32.274999999999999</v>
      </c>
      <c r="C130">
        <v>258656.75</v>
      </c>
      <c r="D130">
        <v>4714.3</v>
      </c>
      <c r="I130">
        <v>0.10893595477174922</v>
      </c>
      <c r="J130">
        <v>0.93468319529364141</v>
      </c>
      <c r="K130">
        <f t="shared" si="1"/>
        <v>0.10182060628842217</v>
      </c>
    </row>
    <row r="131" spans="1:11" x14ac:dyDescent="0.25">
      <c r="A131" s="2">
        <v>45691</v>
      </c>
      <c r="B131">
        <v>59.6</v>
      </c>
      <c r="C131">
        <v>253534</v>
      </c>
      <c r="D131">
        <v>4964.2750000000005</v>
      </c>
      <c r="I131">
        <v>0.20116445869546876</v>
      </c>
      <c r="J131">
        <v>0.9161716028504111</v>
      </c>
      <c r="K131">
        <f t="shared" ref="K131:K157" si="2">I131*J131</f>
        <v>0.18430116455956294</v>
      </c>
    </row>
    <row r="132" spans="1:11" x14ac:dyDescent="0.25">
      <c r="A132" s="2">
        <v>45698</v>
      </c>
      <c r="B132">
        <v>105.175</v>
      </c>
      <c r="C132">
        <v>249354.25</v>
      </c>
      <c r="D132">
        <v>5049.2250000000004</v>
      </c>
      <c r="I132">
        <v>0.35499113998818665</v>
      </c>
      <c r="J132">
        <v>0.90106763944899748</v>
      </c>
      <c r="K132">
        <f t="shared" si="2"/>
        <v>0.31987102853446397</v>
      </c>
    </row>
    <row r="133" spans="1:11" x14ac:dyDescent="0.25">
      <c r="A133" s="2">
        <v>45705</v>
      </c>
      <c r="B133">
        <v>113.97499999999999</v>
      </c>
      <c r="C133">
        <v>246527.75</v>
      </c>
      <c r="D133">
        <v>5030.6000000000004</v>
      </c>
      <c r="I133">
        <v>0.38469327482912835</v>
      </c>
      <c r="J133">
        <v>0.89085378633479317</v>
      </c>
      <c r="K133">
        <f t="shared" si="2"/>
        <v>0.3427054604590602</v>
      </c>
    </row>
    <row r="134" spans="1:11" x14ac:dyDescent="0.25">
      <c r="A134" s="2">
        <v>45712</v>
      </c>
      <c r="B134">
        <v>99.7</v>
      </c>
      <c r="C134">
        <v>244238.25</v>
      </c>
      <c r="D134">
        <v>5293.9250000000002</v>
      </c>
      <c r="I134">
        <v>0.33651168677748716</v>
      </c>
      <c r="J134">
        <v>0.88258043883613013</v>
      </c>
      <c r="K134">
        <f t="shared" si="2"/>
        <v>0.29699863218956096</v>
      </c>
    </row>
    <row r="135" spans="1:11" x14ac:dyDescent="0.25">
      <c r="A135" s="2">
        <v>45719</v>
      </c>
      <c r="B135">
        <v>124.55</v>
      </c>
      <c r="C135">
        <v>244811</v>
      </c>
      <c r="D135">
        <v>5246.9500000000007</v>
      </c>
      <c r="I135">
        <v>0.42038646527719181</v>
      </c>
      <c r="J135">
        <v>0.88465013081248278</v>
      </c>
      <c r="K135">
        <f t="shared" si="2"/>
        <v>0.371894941499265</v>
      </c>
    </row>
    <row r="136" spans="1:11" x14ac:dyDescent="0.25">
      <c r="A136" s="2">
        <v>45726</v>
      </c>
      <c r="B136">
        <v>152.35</v>
      </c>
      <c r="C136">
        <v>234230.25</v>
      </c>
      <c r="D136">
        <v>5479.2749999999996</v>
      </c>
      <c r="I136">
        <v>0.51421820943380303</v>
      </c>
      <c r="J136">
        <v>0.84641548501799568</v>
      </c>
      <c r="K136">
        <f t="shared" si="2"/>
        <v>0.43524225514299769</v>
      </c>
    </row>
    <row r="137" spans="1:11" x14ac:dyDescent="0.25">
      <c r="A137" s="2">
        <v>45733</v>
      </c>
      <c r="B137">
        <v>172.77500000000001</v>
      </c>
      <c r="C137">
        <v>215063</v>
      </c>
      <c r="D137">
        <v>5669.625</v>
      </c>
      <c r="I137">
        <v>0.58315753944814785</v>
      </c>
      <c r="J137">
        <v>0.77715262419958653</v>
      </c>
      <c r="K137">
        <f t="shared" si="2"/>
        <v>0.453202412103902</v>
      </c>
    </row>
    <row r="138" spans="1:11" x14ac:dyDescent="0.25">
      <c r="A138" s="2">
        <v>45740</v>
      </c>
      <c r="B138">
        <v>192.22499999999999</v>
      </c>
      <c r="C138">
        <v>219081.5</v>
      </c>
      <c r="D138">
        <v>5749.0749999999998</v>
      </c>
      <c r="I138">
        <v>0.64880600793182008</v>
      </c>
      <c r="J138">
        <v>0.791673893875663</v>
      </c>
      <c r="K138">
        <f t="shared" si="2"/>
        <v>0.5136427786693083</v>
      </c>
    </row>
    <row r="139" spans="1:11" x14ac:dyDescent="0.25">
      <c r="A139" s="2">
        <v>45747</v>
      </c>
      <c r="B139">
        <v>200.5</v>
      </c>
      <c r="C139">
        <v>216110</v>
      </c>
      <c r="D139">
        <v>5697.8499999999995</v>
      </c>
      <c r="I139">
        <v>0.676736140410092</v>
      </c>
      <c r="J139">
        <v>0.78093606810921756</v>
      </c>
      <c r="K139">
        <f t="shared" si="2"/>
        <v>0.52848766063926467</v>
      </c>
    </row>
    <row r="140" spans="1:11" x14ac:dyDescent="0.25">
      <c r="A140" s="2">
        <v>45754</v>
      </c>
      <c r="B140">
        <v>192.97499999999999</v>
      </c>
      <c r="C140">
        <v>219248.5</v>
      </c>
      <c r="D140">
        <v>5724</v>
      </c>
      <c r="I140">
        <v>0.65133743987849124</v>
      </c>
      <c r="J140">
        <v>0.79227736582686492</v>
      </c>
      <c r="K140">
        <f t="shared" si="2"/>
        <v>0.51603991113134506</v>
      </c>
    </row>
    <row r="141" spans="1:11" x14ac:dyDescent="0.25">
      <c r="A141" s="2">
        <v>45761</v>
      </c>
      <c r="B141">
        <v>173.7</v>
      </c>
      <c r="C141">
        <v>223721.5</v>
      </c>
      <c r="D141">
        <v>5810.5999999999995</v>
      </c>
      <c r="I141">
        <v>0.58627963884904233</v>
      </c>
      <c r="J141">
        <v>0.80844101874738006</v>
      </c>
      <c r="K141">
        <f t="shared" si="2"/>
        <v>0.47397250850196582</v>
      </c>
    </row>
    <row r="142" spans="1:11" x14ac:dyDescent="0.25">
      <c r="A142" s="2">
        <v>45768</v>
      </c>
      <c r="B142">
        <v>270.92500000000001</v>
      </c>
      <c r="C142">
        <v>226525.25</v>
      </c>
      <c r="D142">
        <v>5675.2</v>
      </c>
      <c r="I142">
        <v>0.91443760020251463</v>
      </c>
      <c r="J142">
        <v>0.81857266235924997</v>
      </c>
      <c r="K142">
        <f t="shared" si="2"/>
        <v>0.74853362095917586</v>
      </c>
    </row>
    <row r="143" spans="1:11" x14ac:dyDescent="0.25">
      <c r="A143" s="2">
        <v>45775</v>
      </c>
      <c r="B143">
        <v>296.27499999999998</v>
      </c>
      <c r="C143">
        <v>226109</v>
      </c>
      <c r="D143">
        <v>5766.7999999999993</v>
      </c>
      <c r="I143">
        <v>1</v>
      </c>
      <c r="J143">
        <v>0.81706849948686811</v>
      </c>
      <c r="K143">
        <f t="shared" si="2"/>
        <v>0.81706849948686811</v>
      </c>
    </row>
    <row r="144" spans="1:11" x14ac:dyDescent="0.25">
      <c r="A144" s="2">
        <v>45782</v>
      </c>
      <c r="B144">
        <v>262.2</v>
      </c>
      <c r="C144">
        <v>219515.25</v>
      </c>
      <c r="D144">
        <v>5651</v>
      </c>
      <c r="I144">
        <v>0.88498860855624006</v>
      </c>
      <c r="J144">
        <v>0.79324129482676375</v>
      </c>
      <c r="K144">
        <f t="shared" si="2"/>
        <v>0.70200950975808785</v>
      </c>
    </row>
    <row r="145" spans="1:11" x14ac:dyDescent="0.25">
      <c r="A145" s="2">
        <v>45789</v>
      </c>
      <c r="B145">
        <v>249.8</v>
      </c>
      <c r="C145">
        <v>214749</v>
      </c>
      <c r="D145">
        <v>5712.0749999999998</v>
      </c>
      <c r="I145">
        <v>0.84313560037127677</v>
      </c>
      <c r="J145">
        <v>0.77601795238714699</v>
      </c>
      <c r="K145">
        <f t="shared" si="2"/>
        <v>0.654288362184826</v>
      </c>
    </row>
    <row r="146" spans="1:11" x14ac:dyDescent="0.25">
      <c r="A146" s="2">
        <v>45796</v>
      </c>
      <c r="B146">
        <v>266.27499999999998</v>
      </c>
      <c r="C146">
        <v>208770.5</v>
      </c>
      <c r="D146">
        <v>5749.2750000000005</v>
      </c>
      <c r="I146">
        <v>0.89874272213315332</v>
      </c>
      <c r="J146">
        <v>0.75441401789456941</v>
      </c>
      <c r="K146">
        <f t="shared" si="2"/>
        <v>0.67802410805797475</v>
      </c>
    </row>
    <row r="147" spans="1:11" x14ac:dyDescent="0.25">
      <c r="A147" s="2">
        <v>45803</v>
      </c>
      <c r="B147">
        <v>252.05</v>
      </c>
      <c r="C147">
        <v>207318.5</v>
      </c>
      <c r="D147">
        <v>5727.95</v>
      </c>
      <c r="I147">
        <v>0.85072989621129025</v>
      </c>
      <c r="J147">
        <v>0.74916706416316137</v>
      </c>
      <c r="K147">
        <f t="shared" si="2"/>
        <v>0.63733881874044329</v>
      </c>
    </row>
    <row r="148" spans="1:11" x14ac:dyDescent="0.25">
      <c r="A148" s="2">
        <v>45810</v>
      </c>
      <c r="B148">
        <v>214.35</v>
      </c>
      <c r="C148">
        <v>205163.5</v>
      </c>
      <c r="D148">
        <v>5674.65</v>
      </c>
      <c r="I148">
        <v>0.7234832503586196</v>
      </c>
      <c r="J148">
        <v>0.74137974646950833</v>
      </c>
      <c r="K148">
        <f t="shared" si="2"/>
        <v>0.53637582872580924</v>
      </c>
    </row>
    <row r="149" spans="1:11" x14ac:dyDescent="0.25">
      <c r="A149" s="2">
        <v>45817</v>
      </c>
      <c r="B149">
        <v>238.4</v>
      </c>
      <c r="C149">
        <v>195518.5</v>
      </c>
      <c r="D149">
        <v>5533.0250000000005</v>
      </c>
      <c r="I149">
        <v>0.80465783478187503</v>
      </c>
      <c r="J149">
        <v>0.70652653108422581</v>
      </c>
      <c r="K149">
        <f t="shared" si="2"/>
        <v>0.56851210871818225</v>
      </c>
    </row>
    <row r="150" spans="1:11" x14ac:dyDescent="0.25">
      <c r="A150" s="2">
        <v>45824</v>
      </c>
      <c r="B150">
        <v>218.15</v>
      </c>
      <c r="C150">
        <v>190213.75</v>
      </c>
      <c r="D150">
        <v>5449.2249999999995</v>
      </c>
      <c r="I150">
        <v>0.73630917222175352</v>
      </c>
      <c r="J150">
        <v>0.68735726262232044</v>
      </c>
      <c r="K150">
        <f t="shared" si="2"/>
        <v>0.50610745706205118</v>
      </c>
    </row>
    <row r="151" spans="1:11" x14ac:dyDescent="0.25">
      <c r="A151" s="2">
        <v>45831</v>
      </c>
      <c r="B151">
        <v>157.35</v>
      </c>
      <c r="C151">
        <v>189959.25</v>
      </c>
      <c r="D151">
        <v>5359.35</v>
      </c>
      <c r="I151">
        <v>0.53109442241161087</v>
      </c>
      <c r="J151">
        <v>0.68643760027752476</v>
      </c>
      <c r="K151">
        <f t="shared" si="2"/>
        <v>0.36456318084100425</v>
      </c>
    </row>
    <row r="152" spans="1:11" x14ac:dyDescent="0.25">
      <c r="A152" s="2">
        <v>45838</v>
      </c>
      <c r="B152">
        <v>140.55000000000001</v>
      </c>
      <c r="C152">
        <v>188156</v>
      </c>
      <c r="D152">
        <v>5280.4499999999989</v>
      </c>
      <c r="I152">
        <v>0.47439034680617675</v>
      </c>
      <c r="J152">
        <v>0.67992136796611879</v>
      </c>
      <c r="K152">
        <f t="shared" si="2"/>
        <v>0.3225481335503772</v>
      </c>
    </row>
    <row r="153" spans="1:11" x14ac:dyDescent="0.25">
      <c r="A153" s="2">
        <v>45845</v>
      </c>
      <c r="B153">
        <v>142</v>
      </c>
      <c r="C153">
        <v>190086.25</v>
      </c>
      <c r="D153">
        <v>5143.4249999999993</v>
      </c>
      <c r="I153">
        <v>0.47928444856974101</v>
      </c>
      <c r="J153">
        <v>0.68689652804879808</v>
      </c>
      <c r="K153">
        <f t="shared" si="2"/>
        <v>0.32921882367033783</v>
      </c>
    </row>
    <row r="154" spans="1:11" x14ac:dyDescent="0.25">
      <c r="A154" s="2">
        <v>45852</v>
      </c>
      <c r="B154">
        <v>115.575</v>
      </c>
      <c r="C154">
        <v>192217.25</v>
      </c>
      <c r="D154">
        <v>4985.8499999999995</v>
      </c>
      <c r="I154">
        <v>0.39009366298202686</v>
      </c>
      <c r="J154">
        <v>0.69459711923449396</v>
      </c>
      <c r="K154">
        <f t="shared" si="2"/>
        <v>0.2709579345389474</v>
      </c>
    </row>
    <row r="155" spans="1:11" x14ac:dyDescent="0.25">
      <c r="A155" s="2">
        <v>45859</v>
      </c>
      <c r="B155">
        <v>116.72499999999999</v>
      </c>
      <c r="C155">
        <v>195892.75</v>
      </c>
      <c r="D155">
        <v>4970.2</v>
      </c>
      <c r="I155">
        <v>0.39397519196692266</v>
      </c>
      <c r="J155">
        <v>0.70787892256768281</v>
      </c>
      <c r="K155">
        <f t="shared" si="2"/>
        <v>0.27888673440794121</v>
      </c>
    </row>
    <row r="156" spans="1:11" x14ac:dyDescent="0.25">
      <c r="A156" s="2">
        <v>45866</v>
      </c>
      <c r="B156">
        <v>128.15</v>
      </c>
      <c r="C156">
        <v>195189</v>
      </c>
      <c r="D156">
        <v>4885.55</v>
      </c>
      <c r="I156">
        <v>0.43253733862121346</v>
      </c>
      <c r="J156">
        <v>0.70533584840206398</v>
      </c>
      <c r="K156">
        <f t="shared" si="2"/>
        <v>0.30508409070196441</v>
      </c>
    </row>
    <row r="157" spans="1:11" x14ac:dyDescent="0.25">
      <c r="A157" s="2">
        <v>45873</v>
      </c>
      <c r="B157">
        <v>153.85</v>
      </c>
      <c r="C157">
        <v>195350.25</v>
      </c>
      <c r="D157">
        <v>4707.0249999999996</v>
      </c>
      <c r="I157">
        <v>0.51928107332714546</v>
      </c>
      <c r="J157">
        <v>0.70591854212740113</v>
      </c>
      <c r="K157">
        <f t="shared" si="2"/>
        <v>0.3665701382374506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Resumen semanal</vt:lpstr>
      <vt:lpstr>Descripción</vt:lpstr>
      <vt:lpstr>Gráficos</vt:lpstr>
      <vt:lpstr>Acumulados 60d</vt:lpstr>
      <vt:lpstr>Comparativa 60d</vt:lpstr>
      <vt:lpstr>calculo crecimiento pasto</vt:lpstr>
      <vt:lpstr>grafico agua . luz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UFLO-PC5</cp:lastModifiedBy>
  <dcterms:created xsi:type="dcterms:W3CDTF">2025-08-04T12:57:03Z</dcterms:created>
  <dcterms:modified xsi:type="dcterms:W3CDTF">2025-08-11T13:44:08Z</dcterms:modified>
</cp:coreProperties>
</file>